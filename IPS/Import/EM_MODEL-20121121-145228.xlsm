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65" yWindow="0" windowWidth="2115" windowHeight="1200" tabRatio="899"/>
  </bookViews>
  <sheets>
    <sheet name="광통신" sheetId="126" r:id="rId1"/>
    <sheet name="Total Part List" sheetId="128" r:id="rId2"/>
    <sheet name="생산의뢰서" sheetId="51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광통신!$I$6:$I$116</definedName>
    <definedName name="리스트">[1]Front!$C$54:$C$60</definedName>
    <definedName name="_xlnm.Database">[2]P280297!#REF!</definedName>
    <definedName name="_xlnm.Print_Area" localSheetId="0">광통신!$A$1:$O$116</definedName>
    <definedName name="_xlnm.Print_Area" localSheetId="2">생산의뢰서!$A$1:$E$45</definedName>
    <definedName name="_xlnm.Print_Titles" localSheetId="0">광통신!$1:$9</definedName>
    <definedName name="TEST">[3]Sheet1!#REF!</definedName>
  </definedNames>
  <calcPr calcId="145621"/>
</workbook>
</file>

<file path=xl/calcChain.xml><?xml version="1.0" encoding="utf-8"?>
<calcChain xmlns="http://schemas.openxmlformats.org/spreadsheetml/2006/main">
  <c r="K8" i="128" l="1"/>
  <c r="K9" i="128"/>
  <c r="K10" i="128"/>
  <c r="K11" i="128"/>
  <c r="K12" i="128"/>
  <c r="K13" i="128"/>
  <c r="K14" i="128"/>
  <c r="K15" i="128"/>
  <c r="K16" i="128"/>
  <c r="K17" i="128"/>
  <c r="K18" i="128"/>
  <c r="K19" i="128"/>
  <c r="K20" i="128"/>
  <c r="K21" i="128"/>
  <c r="K22" i="128"/>
  <c r="K23" i="128"/>
  <c r="K24" i="128"/>
  <c r="K25" i="128"/>
  <c r="K26" i="128"/>
  <c r="K27" i="128"/>
  <c r="K28" i="128"/>
  <c r="K29" i="128"/>
  <c r="K30" i="128"/>
  <c r="K31" i="128"/>
  <c r="K32" i="128"/>
  <c r="K33" i="128"/>
  <c r="K34" i="128"/>
  <c r="K35" i="128"/>
  <c r="K36" i="128"/>
  <c r="K37" i="128"/>
  <c r="K38" i="128"/>
  <c r="K39" i="128"/>
  <c r="K40" i="128"/>
  <c r="K41" i="128"/>
  <c r="K42" i="128"/>
  <c r="K43" i="128"/>
  <c r="K44" i="128"/>
  <c r="K45" i="128"/>
  <c r="K46" i="128"/>
  <c r="K47" i="128"/>
  <c r="K48" i="128"/>
  <c r="K49" i="128"/>
  <c r="K50" i="128"/>
  <c r="K51" i="128"/>
  <c r="K52" i="128"/>
  <c r="K53" i="128"/>
  <c r="K54" i="128"/>
  <c r="K55" i="128"/>
  <c r="K56" i="128"/>
  <c r="K57" i="128"/>
  <c r="K58" i="128"/>
  <c r="K59" i="128"/>
  <c r="K60" i="128"/>
  <c r="K61" i="128"/>
  <c r="K62" i="128"/>
  <c r="K63" i="128"/>
  <c r="K64" i="128"/>
  <c r="K65" i="128"/>
  <c r="K66" i="128"/>
  <c r="K67" i="128"/>
  <c r="K68" i="128"/>
  <c r="K69" i="128"/>
  <c r="K70" i="128"/>
  <c r="K71" i="128"/>
  <c r="K72" i="128"/>
  <c r="K73" i="128"/>
  <c r="K74" i="128"/>
  <c r="K75" i="128"/>
  <c r="K76" i="128"/>
  <c r="K77" i="128"/>
  <c r="K78" i="128"/>
  <c r="K79" i="128"/>
  <c r="K80" i="128"/>
  <c r="K81" i="128"/>
  <c r="K82" i="128"/>
  <c r="K83" i="128"/>
  <c r="K84" i="128"/>
  <c r="K85" i="128"/>
  <c r="K86" i="128"/>
  <c r="K87" i="128"/>
  <c r="K88" i="128"/>
  <c r="K89" i="128"/>
  <c r="K90" i="128"/>
  <c r="K91" i="128"/>
  <c r="K92" i="128"/>
  <c r="K93" i="128"/>
  <c r="K94" i="128"/>
  <c r="K95" i="128"/>
  <c r="K96" i="128"/>
  <c r="K97" i="128"/>
  <c r="K98" i="128"/>
  <c r="K99" i="128"/>
  <c r="K100" i="128"/>
  <c r="K101" i="128"/>
  <c r="K102" i="128"/>
  <c r="K103" i="128"/>
  <c r="K104" i="128"/>
  <c r="K105" i="128"/>
  <c r="K106" i="128"/>
  <c r="K107" i="128"/>
  <c r="K108" i="128"/>
  <c r="K109" i="128"/>
  <c r="K110" i="128"/>
  <c r="K111" i="128"/>
  <c r="K112" i="128"/>
  <c r="K113" i="128"/>
  <c r="K114" i="128"/>
  <c r="K115" i="128"/>
  <c r="K116" i="128"/>
  <c r="K117" i="128"/>
  <c r="K118" i="128"/>
  <c r="K119" i="128"/>
  <c r="K120" i="128"/>
  <c r="K121" i="128"/>
  <c r="K122" i="128"/>
  <c r="K123" i="128"/>
  <c r="K124" i="128"/>
  <c r="K125" i="128"/>
  <c r="K126" i="128"/>
  <c r="K127" i="128"/>
  <c r="K128" i="128"/>
  <c r="K129" i="128"/>
  <c r="K130" i="128"/>
  <c r="K131" i="128"/>
  <c r="K132" i="128"/>
  <c r="K133" i="128"/>
  <c r="K134" i="128"/>
  <c r="K135" i="128"/>
  <c r="K136" i="128"/>
  <c r="K137" i="128"/>
  <c r="K138" i="128"/>
  <c r="K139" i="128"/>
  <c r="K140" i="128"/>
  <c r="K141" i="128"/>
  <c r="K142" i="128"/>
  <c r="K143" i="128"/>
  <c r="K144" i="128"/>
  <c r="K145" i="128"/>
  <c r="K146" i="128"/>
  <c r="K147" i="128"/>
  <c r="K148" i="128"/>
  <c r="K149" i="128"/>
  <c r="K150" i="128"/>
  <c r="K151" i="128"/>
  <c r="K152" i="128"/>
  <c r="K153" i="128"/>
  <c r="K154" i="128"/>
  <c r="K155" i="128"/>
  <c r="K156" i="128"/>
  <c r="K157" i="128"/>
  <c r="K158" i="128"/>
  <c r="K159" i="128"/>
  <c r="K160" i="128"/>
  <c r="K161" i="128"/>
  <c r="K162" i="128"/>
  <c r="K163" i="128"/>
  <c r="K164" i="128"/>
  <c r="K165" i="128"/>
  <c r="K166" i="128"/>
  <c r="K167" i="128"/>
  <c r="K168" i="128"/>
  <c r="K169" i="128"/>
  <c r="K170" i="128"/>
  <c r="K171" i="128"/>
  <c r="K172" i="128"/>
  <c r="K173" i="128"/>
  <c r="K174" i="128"/>
  <c r="K175" i="128"/>
  <c r="K176" i="128"/>
  <c r="K177" i="128"/>
  <c r="K178" i="128"/>
  <c r="K179" i="128"/>
  <c r="K180" i="128"/>
  <c r="K181" i="128"/>
  <c r="K182" i="128"/>
  <c r="K183" i="128"/>
  <c r="K184" i="128"/>
  <c r="K185" i="128"/>
  <c r="K186" i="128"/>
  <c r="K187" i="128"/>
  <c r="K188" i="128"/>
  <c r="K189" i="128"/>
  <c r="K190" i="128"/>
  <c r="K191" i="128"/>
  <c r="K192" i="128"/>
  <c r="K193" i="128"/>
  <c r="K194" i="128"/>
  <c r="K195" i="128"/>
  <c r="K196" i="128"/>
  <c r="K197" i="128"/>
  <c r="K198" i="128"/>
  <c r="K199" i="128"/>
  <c r="K200" i="128"/>
  <c r="K201" i="128"/>
  <c r="K202" i="128"/>
  <c r="K203" i="128"/>
  <c r="K204" i="128"/>
  <c r="K205" i="128"/>
  <c r="K206" i="128"/>
  <c r="K207" i="128"/>
  <c r="K208" i="128"/>
  <c r="K209" i="128"/>
  <c r="K210" i="128"/>
  <c r="K211" i="128"/>
  <c r="K212" i="128"/>
  <c r="K213" i="128"/>
  <c r="K214" i="128"/>
  <c r="K215" i="128"/>
  <c r="K216" i="128"/>
  <c r="K217" i="128"/>
  <c r="K218" i="128"/>
  <c r="K219" i="128"/>
  <c r="K220" i="128"/>
  <c r="K221" i="128"/>
  <c r="K222" i="128"/>
  <c r="K223" i="128"/>
  <c r="K224" i="128"/>
  <c r="K225" i="128"/>
  <c r="K226" i="128"/>
  <c r="K227" i="128"/>
  <c r="K228" i="128"/>
  <c r="K229" i="128"/>
  <c r="K230" i="128"/>
  <c r="K231" i="128"/>
  <c r="K232" i="128"/>
  <c r="K233" i="128"/>
  <c r="K234" i="128"/>
  <c r="K235" i="128"/>
  <c r="K236" i="128"/>
  <c r="K237" i="128"/>
  <c r="K238" i="128"/>
  <c r="K239" i="128"/>
  <c r="K240" i="128"/>
  <c r="K241" i="128"/>
  <c r="K242" i="128"/>
  <c r="K243" i="128"/>
  <c r="K244" i="128"/>
  <c r="K245" i="128"/>
  <c r="K246" i="128"/>
  <c r="K247" i="128"/>
  <c r="K248" i="128"/>
  <c r="K249" i="128"/>
  <c r="K250" i="128"/>
  <c r="K251" i="128"/>
  <c r="K252" i="128"/>
  <c r="K253" i="128"/>
  <c r="K254" i="128"/>
  <c r="K255" i="128"/>
  <c r="K256" i="128"/>
  <c r="K257" i="128"/>
  <c r="K258" i="128"/>
  <c r="K259" i="128"/>
  <c r="K260" i="128"/>
  <c r="K261" i="128"/>
  <c r="K262" i="128"/>
  <c r="K263" i="128"/>
  <c r="K264" i="128"/>
  <c r="K265" i="128"/>
  <c r="K266" i="128"/>
  <c r="K267" i="128"/>
  <c r="K268" i="128"/>
  <c r="K269" i="128"/>
  <c r="K270" i="128"/>
  <c r="K271" i="128"/>
  <c r="K272" i="128"/>
  <c r="K273" i="128"/>
  <c r="K274" i="128"/>
  <c r="K275" i="128"/>
  <c r="K276" i="128"/>
  <c r="K277" i="128"/>
  <c r="K278" i="128"/>
  <c r="K279" i="128"/>
  <c r="K280" i="128"/>
  <c r="K281" i="128"/>
  <c r="K282" i="128"/>
  <c r="K283" i="128"/>
  <c r="K284" i="128"/>
  <c r="K285" i="128"/>
  <c r="K286" i="128"/>
  <c r="K287" i="128"/>
  <c r="K288" i="128"/>
  <c r="K289" i="128"/>
  <c r="K290" i="128"/>
  <c r="K291" i="128"/>
  <c r="K292" i="128"/>
  <c r="K293" i="128"/>
  <c r="K294" i="128"/>
  <c r="K295" i="128"/>
  <c r="K296" i="128"/>
  <c r="K297" i="128"/>
  <c r="K298" i="128"/>
  <c r="K299" i="128"/>
  <c r="K300" i="128"/>
  <c r="K301" i="128"/>
  <c r="K302" i="128"/>
  <c r="K303" i="128"/>
  <c r="K304" i="128"/>
  <c r="K305" i="128"/>
  <c r="K306" i="128"/>
  <c r="K307" i="128"/>
  <c r="K308" i="128"/>
  <c r="K309" i="128"/>
  <c r="K310" i="128"/>
  <c r="K311" i="128"/>
  <c r="K312" i="128"/>
  <c r="K313" i="128"/>
  <c r="K314" i="128"/>
  <c r="K315" i="128"/>
  <c r="K316" i="128"/>
  <c r="K317" i="128"/>
  <c r="K318" i="128"/>
  <c r="K319" i="128"/>
  <c r="K320" i="128"/>
  <c r="K321" i="128"/>
  <c r="K322" i="128"/>
  <c r="K323" i="128"/>
  <c r="K324" i="128"/>
  <c r="K325" i="128"/>
  <c r="K326" i="128"/>
  <c r="K327" i="128"/>
  <c r="K328" i="128"/>
  <c r="K329" i="128"/>
  <c r="K330" i="128"/>
  <c r="K331" i="128"/>
  <c r="K332" i="128"/>
  <c r="K333" i="128"/>
  <c r="K334" i="128"/>
  <c r="K335" i="128"/>
  <c r="K336" i="128"/>
  <c r="K337" i="128"/>
  <c r="K338" i="128"/>
  <c r="K339" i="128"/>
  <c r="K340" i="128"/>
  <c r="K341" i="128"/>
  <c r="K342" i="128"/>
  <c r="K343" i="128"/>
  <c r="K344" i="128"/>
  <c r="K345" i="128"/>
  <c r="K346" i="128"/>
  <c r="K347" i="128"/>
  <c r="K348" i="128"/>
  <c r="K349" i="128"/>
  <c r="K350" i="128"/>
  <c r="K351" i="128"/>
  <c r="K352" i="128"/>
  <c r="K353" i="128"/>
  <c r="K354" i="128"/>
  <c r="K355" i="128"/>
  <c r="K356" i="128"/>
  <c r="K357" i="128"/>
  <c r="K358" i="128"/>
  <c r="K359" i="128"/>
  <c r="K360" i="128"/>
  <c r="K361" i="128"/>
  <c r="K362" i="128"/>
  <c r="K363" i="128"/>
  <c r="K364" i="128"/>
  <c r="K365" i="128"/>
  <c r="K366" i="128"/>
  <c r="K367" i="128"/>
  <c r="K368" i="128"/>
  <c r="K369" i="128"/>
  <c r="K370" i="128"/>
  <c r="K371" i="128"/>
  <c r="K372" i="128"/>
  <c r="K373" i="128"/>
  <c r="K374" i="128"/>
  <c r="K7" i="128"/>
  <c r="L10" i="126"/>
  <c r="L11" i="126"/>
  <c r="L12" i="126"/>
  <c r="L13" i="126"/>
  <c r="L14" i="126"/>
  <c r="L15" i="126"/>
  <c r="L16" i="126"/>
  <c r="L17" i="126"/>
  <c r="L18" i="126"/>
  <c r="L19" i="126"/>
  <c r="L20" i="126"/>
  <c r="L21" i="126"/>
  <c r="L22" i="126"/>
  <c r="L23" i="126"/>
  <c r="L24" i="126"/>
  <c r="L25" i="126"/>
  <c r="L26" i="126"/>
  <c r="L27" i="126"/>
  <c r="L28" i="126"/>
  <c r="L29" i="126"/>
  <c r="L30" i="126"/>
  <c r="L31" i="126"/>
  <c r="L32" i="126"/>
  <c r="L33" i="126"/>
  <c r="L34" i="126"/>
  <c r="L35" i="126"/>
  <c r="L36" i="126"/>
  <c r="L37" i="126"/>
  <c r="L38" i="126"/>
  <c r="L39" i="126"/>
  <c r="L40" i="126"/>
  <c r="L41" i="126"/>
  <c r="L42" i="126"/>
  <c r="L43" i="126"/>
  <c r="L44" i="126"/>
  <c r="L45" i="126"/>
  <c r="L46" i="126"/>
  <c r="L47" i="126"/>
  <c r="L48" i="126"/>
  <c r="L49" i="126"/>
  <c r="L50" i="126"/>
  <c r="L51" i="126"/>
  <c r="L52" i="126"/>
  <c r="L53" i="126"/>
  <c r="L54" i="126"/>
  <c r="L55" i="126"/>
  <c r="L56" i="126"/>
  <c r="L57" i="126"/>
  <c r="L58" i="126"/>
  <c r="L59" i="126"/>
  <c r="L61" i="126"/>
  <c r="L62" i="126"/>
  <c r="L63" i="126"/>
  <c r="L64" i="126"/>
  <c r="L65" i="126"/>
  <c r="L66" i="126"/>
  <c r="L67" i="126"/>
  <c r="L68" i="126"/>
  <c r="L69" i="126"/>
  <c r="L70" i="126"/>
  <c r="L71" i="126"/>
  <c r="L72" i="126"/>
  <c r="L73" i="126"/>
  <c r="L74" i="126"/>
  <c r="L75" i="126"/>
  <c r="L76" i="126"/>
  <c r="L77" i="126"/>
  <c r="L78" i="126"/>
  <c r="L79" i="126"/>
  <c r="L80" i="126"/>
  <c r="L81" i="126"/>
  <c r="L82" i="126"/>
  <c r="L83" i="126"/>
  <c r="L84" i="126"/>
  <c r="L85" i="126"/>
  <c r="L86" i="126"/>
  <c r="L87" i="126"/>
  <c r="L88" i="126"/>
  <c r="L89" i="126"/>
  <c r="L90" i="126"/>
  <c r="L91" i="126"/>
  <c r="L92" i="126"/>
  <c r="L93" i="126"/>
  <c r="L94" i="126"/>
  <c r="L95" i="126"/>
  <c r="L96" i="126"/>
  <c r="L97" i="126"/>
  <c r="L98" i="126"/>
  <c r="L99" i="126"/>
  <c r="L100" i="126"/>
  <c r="L101" i="126"/>
  <c r="L102" i="126"/>
  <c r="L103" i="126"/>
  <c r="L104" i="126"/>
  <c r="L105" i="126"/>
  <c r="L106" i="126"/>
  <c r="L107" i="126"/>
  <c r="L108" i="126"/>
  <c r="L109" i="126"/>
  <c r="L110" i="126"/>
  <c r="L111" i="126"/>
  <c r="L112" i="126"/>
  <c r="L113" i="126"/>
  <c r="L114" i="126"/>
  <c r="L115" i="126"/>
  <c r="L116" i="126"/>
  <c r="A7" i="51"/>
  <c r="A8" i="51" s="1"/>
  <c r="K447" i="128"/>
  <c r="K450" i="128" s="1"/>
  <c r="H10" i="51"/>
  <c r="H9" i="51"/>
  <c r="H7" i="51"/>
  <c r="H14" i="51"/>
  <c r="H11" i="51"/>
  <c r="H8" i="51"/>
  <c r="H6" i="51"/>
  <c r="H13" i="51"/>
  <c r="H12" i="51"/>
  <c r="A9" i="51" l="1"/>
  <c r="A10" i="51" s="1"/>
  <c r="A11" i="51" s="1"/>
  <c r="A12" i="51" s="1"/>
  <c r="A13" i="51" s="1"/>
  <c r="A14" i="51" s="1"/>
  <c r="A15" i="51" s="1"/>
  <c r="A4" i="51"/>
</calcChain>
</file>

<file path=xl/sharedStrings.xml><?xml version="1.0" encoding="utf-8"?>
<sst xmlns="http://schemas.openxmlformats.org/spreadsheetml/2006/main" count="3785" uniqueCount="1270">
  <si>
    <t>GS-007</t>
  </si>
  <si>
    <t>3O31201007</t>
  </si>
  <si>
    <t>CAJON</t>
  </si>
  <si>
    <t>1/2"</t>
  </si>
  <si>
    <t>8UBU-SS</t>
  </si>
  <si>
    <t>REG2</t>
  </si>
  <si>
    <t>LF4</t>
  </si>
  <si>
    <t>WGMX-MB-RR4</t>
  </si>
  <si>
    <t>LF1,3,5</t>
  </si>
  <si>
    <t>LF2</t>
  </si>
  <si>
    <t>KD4OS-VFC-EP</t>
  </si>
  <si>
    <t>KD8OS-VFC-EP</t>
  </si>
  <si>
    <t>KD8CS-VFC-EP</t>
  </si>
  <si>
    <t>SD8MS-VFC-EP</t>
  </si>
  <si>
    <t>SS-MGVR4-MH</t>
  </si>
  <si>
    <t>3M22600138</t>
  </si>
  <si>
    <t>6L-CW4VR8-P</t>
  </si>
  <si>
    <t>FM1</t>
  </si>
  <si>
    <t>FW1520-N2-300S-6K-UV3</t>
  </si>
  <si>
    <t>SUS-316L-EP-TUBE-1/2"</t>
  </si>
  <si>
    <t>SUS-316L-EP-TUBE-3/8"</t>
  </si>
  <si>
    <t>3M90100002</t>
  </si>
  <si>
    <t>S4SG19-P</t>
  </si>
  <si>
    <t>S4SG6-P</t>
  </si>
  <si>
    <t>SHORT MALE NUT</t>
  </si>
  <si>
    <t>S4MNS</t>
  </si>
  <si>
    <t>S6SG19-P</t>
  </si>
  <si>
    <t>S6SG6-P</t>
  </si>
  <si>
    <t>3M60100212</t>
  </si>
  <si>
    <t>S4LG19-P</t>
  </si>
  <si>
    <t>S6LG19-P</t>
  </si>
  <si>
    <t>S8MN</t>
  </si>
  <si>
    <t>S4E6-P</t>
  </si>
  <si>
    <t>S6E6-P</t>
  </si>
  <si>
    <t>S4T6-P</t>
  </si>
  <si>
    <t>S6T6-P</t>
  </si>
  <si>
    <t>3M60100214</t>
  </si>
  <si>
    <t>S6CT6-P</t>
  </si>
  <si>
    <t>3M60100402</t>
  </si>
  <si>
    <t>MICRO TRIBOW</t>
  </si>
  <si>
    <t>S4TB6-P</t>
  </si>
  <si>
    <t>3M60100204</t>
  </si>
  <si>
    <t>S6TB6-P</t>
  </si>
  <si>
    <t>3M60100215</t>
  </si>
  <si>
    <t>S6X4R6-P</t>
  </si>
  <si>
    <t>MICRO REDUCING ELBOW</t>
  </si>
  <si>
    <t>S6X4E6-P</t>
  </si>
  <si>
    <t>3M60100341</t>
  </si>
  <si>
    <t>MICRO REDUCING TEE</t>
  </si>
  <si>
    <t>S6X4T6-P</t>
  </si>
  <si>
    <t>3M60100220</t>
  </si>
  <si>
    <t>3M60100104</t>
  </si>
  <si>
    <t>3M60700077</t>
  </si>
  <si>
    <t>SLS</t>
  </si>
  <si>
    <t>Cl2</t>
  </si>
  <si>
    <t>BGC</t>
  </si>
  <si>
    <t>TGC</t>
  </si>
  <si>
    <t>작성자 : 최병덕</t>
    <phoneticPr fontId="8" type="noConversion"/>
  </si>
  <si>
    <t>DISPLAY PRESSURE SENSOR</t>
  </si>
  <si>
    <t>PG-35-103R-NVCB</t>
  </si>
  <si>
    <t>IHARA</t>
  </si>
  <si>
    <t>MV1</t>
  </si>
  <si>
    <t>SMC</t>
  </si>
  <si>
    <t>3M3ZZ00052</t>
  </si>
  <si>
    <t xml:space="preserve">BULKHEADUNION </t>
  </si>
  <si>
    <t>1"</t>
  </si>
  <si>
    <t>16UBU-SS</t>
  </si>
  <si>
    <t>S8TB6-P</t>
  </si>
  <si>
    <t>3M60100247</t>
  </si>
  <si>
    <t>SUS-316L-EP-TUBE-3/4"</t>
  </si>
  <si>
    <t>MALE CONNECTOR</t>
  </si>
  <si>
    <t>16UMC 16R</t>
  </si>
  <si>
    <t>3/4"</t>
  </si>
  <si>
    <t>12UMC 12R</t>
  </si>
  <si>
    <t>MALE ELBOW</t>
  </si>
  <si>
    <t>16UME 16R</t>
  </si>
  <si>
    <t>16UE U</t>
  </si>
  <si>
    <t>1" X 3/4"</t>
  </si>
  <si>
    <t>16URBT-12</t>
  </si>
  <si>
    <t>REDUCER MALE ELBOW</t>
  </si>
  <si>
    <t>16UREU-12</t>
  </si>
  <si>
    <t>3/4" X 1/2"</t>
  </si>
  <si>
    <t>12UME-08R</t>
  </si>
  <si>
    <t>1/2" X 3/4"</t>
  </si>
  <si>
    <t>8UME-12R</t>
  </si>
  <si>
    <t>3M6ZZ00100</t>
  </si>
  <si>
    <t>Multi Header Tee</t>
  </si>
  <si>
    <t>ASFLOW</t>
  </si>
  <si>
    <t>AL 6T-36</t>
  </si>
  <si>
    <t>라바히터bracket</t>
  </si>
  <si>
    <t>3O31491020</t>
  </si>
  <si>
    <t>3M60100206</t>
  </si>
  <si>
    <t>3M60100064</t>
  </si>
  <si>
    <t>3M20100058</t>
  </si>
  <si>
    <t>BULKHEAD UNION</t>
  </si>
  <si>
    <t>6UBU-SS</t>
  </si>
  <si>
    <t>3M60800013</t>
  </si>
  <si>
    <t>MV8,9</t>
  </si>
  <si>
    <t>SD8MS-VC-EP</t>
  </si>
  <si>
    <t>LOCK FITTING</t>
  </si>
  <si>
    <t>SS-8MO-6-6</t>
  </si>
  <si>
    <t>3M60700102</t>
  </si>
  <si>
    <t>APTECH</t>
  </si>
  <si>
    <t>MFC1</t>
  </si>
  <si>
    <t>5850S Cl2 2 slpm(1/4"VCR)</t>
  </si>
  <si>
    <t>3M51100041</t>
  </si>
  <si>
    <t>MFC2</t>
  </si>
  <si>
    <t>5850S He 40 slpm(1/4"VCR)</t>
  </si>
  <si>
    <t>3M51100042</t>
  </si>
  <si>
    <t>3M30300048</t>
  </si>
  <si>
    <t>MFC 2</t>
  </si>
  <si>
    <t>MFC 1</t>
  </si>
  <si>
    <t>5850S CF4 200 sccm(1/4"VCR)</t>
  </si>
  <si>
    <t>3M51100036</t>
  </si>
  <si>
    <t>MFC 10.11</t>
  </si>
  <si>
    <t>MFC 3</t>
  </si>
  <si>
    <t>MFC 4~6, 12~14</t>
  </si>
  <si>
    <t>MFC 9,17</t>
  </si>
  <si>
    <t>MFC 8,16</t>
  </si>
  <si>
    <t>MFC 15</t>
  </si>
  <si>
    <t>MFC 7</t>
  </si>
  <si>
    <t>FA 1~10</t>
  </si>
  <si>
    <t>PG1~8,10</t>
  </si>
  <si>
    <t>DPS1</t>
  </si>
  <si>
    <t>AV 5~7,19,33</t>
  </si>
  <si>
    <t>AV1,18,20</t>
  </si>
  <si>
    <t>AV22,25,27</t>
  </si>
  <si>
    <t>AV31,32</t>
  </si>
  <si>
    <t>MV2,3,10~13</t>
  </si>
  <si>
    <t>MTV1~4</t>
  </si>
  <si>
    <t>CV14~23</t>
  </si>
  <si>
    <t>CV1,4~6,8,9,13</t>
  </si>
  <si>
    <t>3M60100198</t>
  </si>
  <si>
    <t>3O31101113</t>
  </si>
  <si>
    <t>S12CP</t>
  </si>
  <si>
    <t>S4SMN</t>
  </si>
  <si>
    <t>3M60100304</t>
  </si>
  <si>
    <t>대한공구</t>
  </si>
  <si>
    <t>1/4"*80H</t>
  </si>
  <si>
    <t>SUS 304</t>
  </si>
  <si>
    <t xml:space="preserve">P820-1A3SM(-30-100)PSI/MPA </t>
  </si>
  <si>
    <t xml:space="preserve">P820-1F3SM(-30-100)PSI/MPA </t>
  </si>
  <si>
    <t>3M10300037</t>
  </si>
  <si>
    <t>3M5ZZ00057</t>
  </si>
  <si>
    <t>1/2"*70H</t>
  </si>
  <si>
    <t>AV8</t>
  </si>
  <si>
    <t>KD4CS-VFC-STD</t>
  </si>
  <si>
    <t>3M20300010</t>
  </si>
  <si>
    <t>END BURNER ASS'Y</t>
  </si>
  <si>
    <t>FILDH1-D30-000V01</t>
  </si>
  <si>
    <t>3M8ZZ00081</t>
  </si>
  <si>
    <t>SD8MS-VFC-SEP</t>
  </si>
  <si>
    <t>3M20100061</t>
  </si>
  <si>
    <t>MV8</t>
  </si>
  <si>
    <t>SD4MS-VFC-STD</t>
  </si>
  <si>
    <t>3M20100053</t>
  </si>
  <si>
    <t>CV3</t>
  </si>
  <si>
    <t>SS-4C-VCR-1/3</t>
  </si>
  <si>
    <t>3M22700029</t>
  </si>
  <si>
    <t>2WAY MANUAL BLEED VALVE</t>
  </si>
  <si>
    <t>MV 7</t>
  </si>
  <si>
    <t>KD4MS-VFRC-L-807-STD</t>
  </si>
  <si>
    <t>3M20100026</t>
  </si>
  <si>
    <t>3M50800266</t>
  </si>
  <si>
    <t>ENDLESS HAUSE</t>
  </si>
  <si>
    <t>VCO MALE FITTING</t>
  </si>
  <si>
    <t>SS-4-VCO-6-400</t>
  </si>
  <si>
    <t>3M60600193</t>
  </si>
  <si>
    <t>MANO METER</t>
  </si>
  <si>
    <t>FR51HV500D</t>
  </si>
  <si>
    <t>3NN0200001</t>
  </si>
  <si>
    <t>YAMAMOTO</t>
  </si>
  <si>
    <t>UPBHU08-C</t>
  </si>
  <si>
    <t>UPBHU04-C</t>
  </si>
  <si>
    <t>UCLG04S-C</t>
  </si>
  <si>
    <t>UCMG04S-C</t>
  </si>
  <si>
    <t>UCLG08-06S-C</t>
  </si>
  <si>
    <t>UCLG08-06S-BA</t>
  </si>
  <si>
    <t>3M6ZZ00308</t>
  </si>
  <si>
    <t>UCLG08S-C</t>
  </si>
  <si>
    <t>UCLG04L-C</t>
  </si>
  <si>
    <t>UPLG04L-C</t>
  </si>
  <si>
    <t>UPLG08-06L-C</t>
  </si>
  <si>
    <t>3M6ZZ00305</t>
  </si>
  <si>
    <t>UCLG08L-C</t>
  </si>
  <si>
    <t>UPLG08L-C</t>
  </si>
  <si>
    <t>3M6ZZ00282</t>
  </si>
  <si>
    <t>UCLG08L-BA</t>
  </si>
  <si>
    <t>3M6ZZ00318</t>
  </si>
  <si>
    <t>USMN08</t>
  </si>
  <si>
    <t>UC4M04-9-C</t>
  </si>
  <si>
    <t>UC8M04-9-C</t>
  </si>
  <si>
    <t>UC4M04-3-C</t>
  </si>
  <si>
    <t>UC8M04-3-C</t>
  </si>
  <si>
    <t>3M6ZZ00274</t>
  </si>
  <si>
    <t>UC6M04-6-4-C</t>
  </si>
  <si>
    <t>3M60100523</t>
  </si>
  <si>
    <t>UP6M04-6-4-C</t>
  </si>
  <si>
    <t>3M6ZZ00364</t>
  </si>
  <si>
    <t>UC8M04-6-4-C</t>
  </si>
  <si>
    <t>3O31420001</t>
  </si>
  <si>
    <t>3O31420003</t>
  </si>
  <si>
    <t>3M60600191</t>
  </si>
  <si>
    <t>3M60600170</t>
  </si>
  <si>
    <t>3M60600198</t>
  </si>
  <si>
    <t>3M60600172</t>
  </si>
  <si>
    <t>3O31104009</t>
  </si>
  <si>
    <t>PB-001</t>
  </si>
  <si>
    <t>삼성광통신 VMB CASE (750X550X1130)</t>
    <phoneticPr fontId="8" type="noConversion"/>
  </si>
  <si>
    <t>PART LIST &lt; B.O.M &gt;</t>
    <phoneticPr fontId="2" type="noConversion"/>
  </si>
  <si>
    <t>분               류</t>
    <phoneticPr fontId="2" type="noConversion"/>
  </si>
  <si>
    <t>품         명</t>
    <phoneticPr fontId="2" type="noConversion"/>
  </si>
  <si>
    <t>도 면 번 호</t>
    <phoneticPr fontId="2" type="noConversion"/>
  </si>
  <si>
    <t>규          격</t>
    <phoneticPr fontId="2" type="noConversion"/>
  </si>
  <si>
    <t>재  질</t>
    <phoneticPr fontId="2" type="noConversion"/>
  </si>
  <si>
    <t>ERP CODE</t>
    <phoneticPr fontId="2" type="noConversion"/>
  </si>
  <si>
    <t>거래업체</t>
    <phoneticPr fontId="2" type="noConversion"/>
  </si>
  <si>
    <t>수     량</t>
    <phoneticPr fontId="2" type="noConversion"/>
  </si>
  <si>
    <t>가     격</t>
    <phoneticPr fontId="2" type="noConversion"/>
  </si>
  <si>
    <t>비     고</t>
    <phoneticPr fontId="8" type="noConversion"/>
  </si>
  <si>
    <t>대분류</t>
    <phoneticPr fontId="2" type="noConversion"/>
  </si>
  <si>
    <t>중분류</t>
    <phoneticPr fontId="2" type="noConversion"/>
  </si>
  <si>
    <t>No</t>
    <phoneticPr fontId="2" type="noConversion"/>
  </si>
  <si>
    <t>개별</t>
    <phoneticPr fontId="2" type="noConversion"/>
  </si>
  <si>
    <t>단가</t>
    <phoneticPr fontId="2" type="noConversion"/>
  </si>
  <si>
    <t>총액</t>
    <phoneticPr fontId="2" type="noConversion"/>
  </si>
  <si>
    <t>TOP ASS'Y</t>
    <phoneticPr fontId="8" type="noConversion"/>
  </si>
  <si>
    <t>MANIFOLD ASS'Y</t>
    <phoneticPr fontId="2" type="noConversion"/>
  </si>
  <si>
    <t>삼성광통신 VMB CASE (750X550X1300)</t>
    <phoneticPr fontId="8" type="noConversion"/>
  </si>
  <si>
    <t>VMB (3)</t>
  </si>
  <si>
    <t>VMB (4)</t>
  </si>
  <si>
    <t>ADR-N-080</t>
  </si>
  <si>
    <t>VORTEX TUBE</t>
  </si>
  <si>
    <t>10025-Stainless Steel Vortex</t>
  </si>
  <si>
    <t>3M90300006</t>
  </si>
  <si>
    <t>Arizona</t>
  </si>
  <si>
    <t>ADR-RH-030</t>
  </si>
  <si>
    <t>REG1,2</t>
  </si>
  <si>
    <t>AZ1210S-3PW-FV12-FV12-IV4-FC</t>
  </si>
  <si>
    <t>REG3~21</t>
  </si>
  <si>
    <t>AZ1210S-3PW-FV8-FV8-IV4-FC</t>
  </si>
  <si>
    <t>3M10200155</t>
  </si>
  <si>
    <t>AP-1506SHM-3PW-MV4-MV4-IV4</t>
  </si>
  <si>
    <t>REGULATOR RING</t>
  </si>
  <si>
    <t>44985-4</t>
  </si>
  <si>
    <t>TESCOM</t>
  </si>
  <si>
    <t>AIR UNIT(Filter+Regulator)</t>
  </si>
  <si>
    <t>AC60B-10G</t>
  </si>
  <si>
    <t>MV1~12</t>
  </si>
  <si>
    <t>MV1A,B</t>
  </si>
  <si>
    <t>SD4MS-VC-SEP</t>
  </si>
  <si>
    <t>MV2A~C.MV3A~C</t>
  </si>
  <si>
    <t>AV2~7,11,12</t>
  </si>
  <si>
    <t>CV2,3,4</t>
  </si>
  <si>
    <t>CV2,3,4,6,7,8</t>
  </si>
  <si>
    <t>SS-12C-VCR-1</t>
  </si>
  <si>
    <t>MV2</t>
  </si>
  <si>
    <t>CVM-12VM-EP</t>
  </si>
  <si>
    <t>MV4,6</t>
  </si>
  <si>
    <t>AV2</t>
  </si>
  <si>
    <t>CVA-12VM-NC-EP</t>
  </si>
  <si>
    <t>SV1,2</t>
  </si>
  <si>
    <t>SHSV-15L-02 (0.93 Mpa 15AX15A) N2 20</t>
  </si>
  <si>
    <t>3M2ZZ00248</t>
  </si>
  <si>
    <t>LF3,5</t>
  </si>
  <si>
    <t>KGLF9202VMM16</t>
  </si>
  <si>
    <t>KSIL1101BW25A</t>
  </si>
  <si>
    <t>WG3NS1RR2</t>
  </si>
  <si>
    <t>LF 1</t>
  </si>
  <si>
    <t>WG2F40JJ6</t>
  </si>
  <si>
    <t>Mist Separator</t>
  </si>
  <si>
    <t>AFM40-06B</t>
  </si>
  <si>
    <t>WG3NS8RR2</t>
  </si>
  <si>
    <t>FM13,14,15</t>
  </si>
  <si>
    <t>FW1120-N2-30S-6K-UV2</t>
  </si>
  <si>
    <t>FW1120-N2-20S-7K-UV2</t>
  </si>
  <si>
    <t>FM1~6</t>
  </si>
  <si>
    <t>FW1200-Air-200S-3K-UV3</t>
  </si>
  <si>
    <t>FM7~12</t>
  </si>
  <si>
    <t>FW1400-CH4-30S-3K-UV3</t>
  </si>
  <si>
    <t>MFM A~C</t>
  </si>
  <si>
    <t>80A04ASVWAAAABAAD</t>
  </si>
  <si>
    <t>5851S O2 100slpm(1/2"VCR)</t>
  </si>
  <si>
    <t>MFC 11</t>
  </si>
  <si>
    <t>5853S O2 200slpm(1/2"VCR)</t>
  </si>
  <si>
    <t>MFC 12~20</t>
  </si>
  <si>
    <t>5851S CH4 70slpm(1/2"VCR)</t>
  </si>
  <si>
    <t>3M51100062</t>
  </si>
  <si>
    <t>5850S Cl2 5 slpm(1/4"VCR)</t>
  </si>
  <si>
    <t>5851S He 100 slpm(1/2"VCR)</t>
  </si>
  <si>
    <t>3M51100064</t>
  </si>
  <si>
    <t>MFC3</t>
  </si>
  <si>
    <t>5850S SiF4 5 slpm(1/4"VCR)</t>
  </si>
  <si>
    <t>5851S He 100 slpm(1/4"VCR)</t>
  </si>
  <si>
    <t>PG8,4~21</t>
  </si>
  <si>
    <t>3M5ZZ00056</t>
  </si>
  <si>
    <t>D4BH-PX</t>
  </si>
  <si>
    <t>TRIBOW TEE</t>
  </si>
  <si>
    <t>D4TB6-PX</t>
  </si>
  <si>
    <t>D8BH-PX</t>
  </si>
  <si>
    <t>S12BH-P</t>
  </si>
  <si>
    <t>S12FN</t>
  </si>
  <si>
    <t>S16BH-P</t>
  </si>
  <si>
    <t>S16LG19-P</t>
  </si>
  <si>
    <t>S16SG19-P</t>
  </si>
  <si>
    <t>S4BH</t>
  </si>
  <si>
    <t>S4BH-P</t>
  </si>
  <si>
    <t>S4CT6</t>
  </si>
  <si>
    <t>S4E6</t>
  </si>
  <si>
    <t>S4LG19</t>
  </si>
  <si>
    <t>S4SG19</t>
  </si>
  <si>
    <t>S4SG6</t>
  </si>
  <si>
    <t>S4T6</t>
  </si>
  <si>
    <t>S8BH</t>
  </si>
  <si>
    <t>S8BH-P</t>
  </si>
  <si>
    <t>S8E6-P</t>
  </si>
  <si>
    <t>S8LG19-P</t>
  </si>
  <si>
    <t>S8SG19</t>
  </si>
  <si>
    <t>S8SG19-P</t>
  </si>
  <si>
    <t>S8T6-P</t>
  </si>
  <si>
    <t>MICRO REDUCER ELBOW</t>
  </si>
  <si>
    <t>S8x4E6-P</t>
  </si>
  <si>
    <t>S8x4T6-P</t>
  </si>
  <si>
    <t>S8X4R6</t>
  </si>
  <si>
    <t>3M60100284</t>
  </si>
  <si>
    <t>HIGH MALE NUT</t>
  </si>
  <si>
    <t>S12X8E19-P</t>
  </si>
  <si>
    <t>MICRO REDUCING GRAND</t>
  </si>
  <si>
    <t>S12x8LG19-P</t>
  </si>
  <si>
    <t>S16E19-P</t>
  </si>
  <si>
    <t>HIGH LONG GLAND</t>
  </si>
  <si>
    <t>S6X4HLG-P</t>
  </si>
  <si>
    <t>HIGH FEMALE NUT</t>
  </si>
  <si>
    <t>S12x8SG19-P</t>
  </si>
  <si>
    <t>UC4M04-4-BA</t>
  </si>
  <si>
    <t>40A*3/8"*6EA</t>
  </si>
  <si>
    <t>1"*3/8"*6EA</t>
  </si>
  <si>
    <t>3M60100534</t>
  </si>
  <si>
    <t>SCM 60E-SEP</t>
  </si>
  <si>
    <t>P6M04-3-4-C</t>
  </si>
  <si>
    <t>PLG08-06S-C</t>
  </si>
  <si>
    <t>SWAGELOK NUT SET</t>
  </si>
  <si>
    <t>T-400-SET</t>
  </si>
  <si>
    <t>T-810-SET</t>
  </si>
  <si>
    <t>SS-QC4-B-400</t>
  </si>
  <si>
    <t>04UN</t>
  </si>
  <si>
    <t>SS-QF4-B-400</t>
  </si>
  <si>
    <t>08UN</t>
  </si>
  <si>
    <t>MALE CONNECT</t>
  </si>
  <si>
    <t>12"-1/2"</t>
  </si>
  <si>
    <t>08UMC-08N</t>
  </si>
  <si>
    <t>3/8"-1/2"</t>
  </si>
  <si>
    <t>06UMC-08N</t>
  </si>
  <si>
    <t>AB-RT-25A-04-E</t>
  </si>
  <si>
    <t>AB-RT-25A-08-E</t>
  </si>
  <si>
    <t>REDUCER MALE TEE</t>
  </si>
  <si>
    <t>04UMC-06N</t>
  </si>
  <si>
    <t>3M6ZZ00188</t>
  </si>
  <si>
    <t>UCLG12L-C</t>
  </si>
  <si>
    <t>UC12H12-9-C</t>
  </si>
  <si>
    <t>AB-ET-25A-E</t>
  </si>
  <si>
    <t>AB-90E-25A-E</t>
  </si>
  <si>
    <t>UC8M04-3-4-C</t>
  </si>
  <si>
    <t>UC12H-3-8L-C</t>
  </si>
  <si>
    <t>UCLG12S-C</t>
  </si>
  <si>
    <t>UP8M04-3-C</t>
  </si>
  <si>
    <t>UC8M04-9-4-C</t>
  </si>
  <si>
    <t>UC4M04-91-C</t>
  </si>
  <si>
    <t>UC6M04-9-C</t>
  </si>
  <si>
    <t>UC6M04-9-4-C</t>
  </si>
  <si>
    <t>UC6M04-3-C</t>
  </si>
  <si>
    <t>UC6M04-3-4-C</t>
  </si>
  <si>
    <t>UC8M04-91-C</t>
  </si>
  <si>
    <t>USMN12</t>
  </si>
  <si>
    <t>UC12H12-3-C</t>
  </si>
  <si>
    <t>USBHU12-C</t>
  </si>
  <si>
    <t>TRIBOW</t>
  </si>
  <si>
    <t>UC8M04-4-C</t>
  </si>
  <si>
    <t>UC12H12-3-4-C</t>
  </si>
  <si>
    <t>USCP16</t>
  </si>
  <si>
    <t>USMN08HR-LT</t>
  </si>
  <si>
    <t>C G A</t>
  </si>
  <si>
    <t>CGA 660</t>
  </si>
  <si>
    <t>FA1~15</t>
  </si>
  <si>
    <t>RF85-20N-ES (1/2 NPT-F)</t>
  </si>
  <si>
    <t xml:space="preserve">SUS-316L-EP-TUBE-1/4" </t>
  </si>
  <si>
    <t>SUS-316L-EP-TUBE-1"</t>
  </si>
  <si>
    <t>우레탄 호스</t>
  </si>
  <si>
    <t>8x5x5x(127919) yellow</t>
  </si>
  <si>
    <t>3M9ZZ00007</t>
  </si>
  <si>
    <t>철 에어건</t>
  </si>
  <si>
    <t>BA-601-3(223752)</t>
  </si>
  <si>
    <t>3M9ZZ00008</t>
  </si>
  <si>
    <t>6각 렌치 볼트</t>
  </si>
  <si>
    <t>M5 X 65</t>
  </si>
  <si>
    <t>3M9ZZ00009</t>
  </si>
  <si>
    <t>PL4-M5M</t>
  </si>
  <si>
    <t>TGC (1500X600X1900)</t>
  </si>
  <si>
    <t>3O10200016</t>
  </si>
  <si>
    <t>삼성광통신 SLS CASE (900X300X1000)</t>
  </si>
  <si>
    <t>삼성광통신 BGC CASE (2200X800X2100)</t>
  </si>
  <si>
    <t>VMB (800X300X1000)</t>
  </si>
  <si>
    <t>3O10500251</t>
  </si>
  <si>
    <t>CASE ASS'Y</t>
  </si>
  <si>
    <t>ACA  2000(W)*1100(D)*2000(H)</t>
  </si>
  <si>
    <t>3O10600042</t>
  </si>
  <si>
    <t>ACA 1350(W)*900(D)*1895(H)</t>
  </si>
  <si>
    <t>3O10600051</t>
  </si>
  <si>
    <t>1/4"*750L</t>
  </si>
  <si>
    <t>유수정밀</t>
  </si>
  <si>
    <t>3O30100041</t>
  </si>
  <si>
    <t>3O30100042</t>
  </si>
  <si>
    <t>CF FLANGE</t>
  </si>
  <si>
    <t>CF 2.75" CF(25A)</t>
  </si>
  <si>
    <t>신성정밀</t>
  </si>
  <si>
    <t>CF 2.75" CFR(25A)</t>
  </si>
  <si>
    <t>BLANK(CAP)</t>
  </si>
  <si>
    <t>CF 2.75" BLANK(25A)</t>
  </si>
  <si>
    <t>COLUMN SUPPORT ASS'Y(받침대)</t>
  </si>
  <si>
    <t>90A(3.5B)*H200</t>
  </si>
  <si>
    <t>3O30600001</t>
  </si>
  <si>
    <t>(1/4"*30H)</t>
  </si>
  <si>
    <t>LB-005</t>
  </si>
  <si>
    <t>3/8"*30H</t>
  </si>
  <si>
    <t>LB-006</t>
  </si>
  <si>
    <t>1/2"*30H</t>
  </si>
  <si>
    <t>LB-007</t>
  </si>
  <si>
    <t>1/4"*50.6H</t>
  </si>
  <si>
    <t>LB-024</t>
  </si>
  <si>
    <t>3/4"*30H</t>
  </si>
  <si>
    <t>LB-025</t>
  </si>
  <si>
    <t>1/2"*57H</t>
  </si>
  <si>
    <t>1/2"*52H</t>
  </si>
  <si>
    <t>3/8"*53.8H</t>
  </si>
  <si>
    <t>3/8"*52H</t>
  </si>
  <si>
    <t>3O31101028</t>
  </si>
  <si>
    <t>LB-030</t>
  </si>
  <si>
    <t>1/4"*10H-3 HOLE(68L)</t>
  </si>
  <si>
    <t>3O31101030</t>
  </si>
  <si>
    <t>LB-031</t>
  </si>
  <si>
    <t>1/4"*10H-3 HOLE(91L)</t>
  </si>
  <si>
    <t>3O31101031</t>
  </si>
  <si>
    <t>LB-032</t>
  </si>
  <si>
    <t>1/4"*10H-3 HOLE(208)</t>
  </si>
  <si>
    <t>3O31101032</t>
  </si>
  <si>
    <t>LB-033</t>
  </si>
  <si>
    <t>1/4"*10H-2 HOLE(128)</t>
  </si>
  <si>
    <t>3O31101033</t>
  </si>
  <si>
    <t>LB-034</t>
  </si>
  <si>
    <t>1/4"*70H</t>
  </si>
  <si>
    <t>3O31101034</t>
  </si>
  <si>
    <t>LB-035</t>
  </si>
  <si>
    <t>1/4"*3/8"*30H-6 HOLE</t>
  </si>
  <si>
    <t>3O31101035</t>
  </si>
  <si>
    <t>LB-036</t>
  </si>
  <si>
    <t>1"*70H</t>
  </si>
  <si>
    <t>3O31101036</t>
  </si>
  <si>
    <t>LB-037</t>
  </si>
  <si>
    <t>1"*70H-L형</t>
  </si>
  <si>
    <t>3O31101037</t>
  </si>
  <si>
    <t>3/8"*20H-5 HOLE(92)</t>
  </si>
  <si>
    <t>3O31101073</t>
  </si>
  <si>
    <t>1/4"*20H-2 HOLE(33)</t>
  </si>
  <si>
    <t>3O31101074</t>
  </si>
  <si>
    <t>1/4"*20H-2 HOLE(42)</t>
  </si>
  <si>
    <t>1/4"*20H-2 HOLE(72)</t>
  </si>
  <si>
    <t>1/4"*20H-2 HOLE(124)</t>
  </si>
  <si>
    <t>1/4"*30H</t>
  </si>
  <si>
    <t>1/4"*50H*6HOLE</t>
  </si>
  <si>
    <t>25A*53.2H</t>
  </si>
  <si>
    <t>25A*80H</t>
  </si>
  <si>
    <t>25A*40.4H</t>
  </si>
  <si>
    <t>3O31101211</t>
  </si>
  <si>
    <t>25A*59.1H</t>
  </si>
  <si>
    <t>3O31101212</t>
  </si>
  <si>
    <t>25A*74.5H</t>
  </si>
  <si>
    <t>3O31101213</t>
  </si>
  <si>
    <t>1/2"*31.7H</t>
  </si>
  <si>
    <t>3O31101283</t>
  </si>
  <si>
    <t>MFM BRACKET</t>
  </si>
  <si>
    <t>5853S MFM BRACKET</t>
  </si>
  <si>
    <t xml:space="preserve">1/4" HI AIR VALVE </t>
  </si>
  <si>
    <t>3O31102001</t>
  </si>
  <si>
    <t xml:space="preserve">1/4" LOW AIR &amp; MANUAL VALVE </t>
  </si>
  <si>
    <t>3O31102002</t>
  </si>
  <si>
    <t>1/4" HI MANUAL</t>
  </si>
  <si>
    <t>VB-006</t>
  </si>
  <si>
    <t>3O31102006</t>
  </si>
  <si>
    <t>VB-013</t>
  </si>
  <si>
    <t>3O31102013</t>
  </si>
  <si>
    <t>BB-001</t>
  </si>
  <si>
    <t>3O31103001</t>
  </si>
  <si>
    <t>BB-002</t>
  </si>
  <si>
    <t>3O31103002</t>
  </si>
  <si>
    <t>VB-026</t>
  </si>
  <si>
    <t xml:space="preserve">3/4" MANUAL-VALVE </t>
  </si>
  <si>
    <t>3O31103028</t>
  </si>
  <si>
    <t>3O31103029</t>
  </si>
  <si>
    <t>3O31104001</t>
  </si>
  <si>
    <t>AIR REGULATOR BRACKET</t>
  </si>
  <si>
    <t>3O31105001</t>
  </si>
  <si>
    <t>GAS NAME STICKER</t>
  </si>
  <si>
    <t>case-sun-001</t>
  </si>
  <si>
    <t>VALVE NAME STICKER</t>
  </si>
  <si>
    <t>npll-ac-005</t>
  </si>
  <si>
    <t>아크릴</t>
  </si>
  <si>
    <t>SAFETY FILM</t>
  </si>
  <si>
    <t>방법용(500X300)-GGL800GL90</t>
  </si>
  <si>
    <t>3O31204001</t>
  </si>
  <si>
    <t>웰막 코리아</t>
  </si>
  <si>
    <t>ESO STICKER</t>
  </si>
  <si>
    <t>con-ac-002</t>
  </si>
  <si>
    <t>Φ111*Φ85</t>
  </si>
  <si>
    <t>220*170*10T</t>
  </si>
  <si>
    <t>무지개 필터</t>
  </si>
  <si>
    <t>TUBE STUB</t>
  </si>
  <si>
    <t>1/4"</t>
  </si>
  <si>
    <t>3O31430001</t>
  </si>
  <si>
    <t>1/2" S/W</t>
  </si>
  <si>
    <t xml:space="preserve">3/4" VCR </t>
  </si>
  <si>
    <t>1" S/W</t>
  </si>
  <si>
    <t>RE-007</t>
  </si>
  <si>
    <t xml:space="preserve">1" VCR </t>
  </si>
  <si>
    <t>mf-etc-001</t>
  </si>
  <si>
    <t>1/4" 녹색</t>
  </si>
  <si>
    <t>3O31480001</t>
  </si>
  <si>
    <t>미륭</t>
  </si>
  <si>
    <t>1/2" 녹색</t>
  </si>
  <si>
    <t>FT-002</t>
  </si>
  <si>
    <t>25A PIPE</t>
  </si>
  <si>
    <t>삼보금속</t>
  </si>
  <si>
    <t>개패 고리 명판</t>
  </si>
  <si>
    <t>3O31481001</t>
  </si>
  <si>
    <t>FLANGE류 E.P</t>
  </si>
  <si>
    <t>FLANGE류</t>
  </si>
  <si>
    <t>2.75"(25A)</t>
  </si>
  <si>
    <t>90A(4B) 상부 CAP ASS'Y</t>
  </si>
  <si>
    <t>90A(4B) 하부 CAP ASS'Y</t>
  </si>
  <si>
    <t>3O31801021</t>
  </si>
  <si>
    <t>COLUMN ASS'Y</t>
  </si>
  <si>
    <t>C-HI-08-L 25A</t>
  </si>
  <si>
    <t>3O31801104</t>
  </si>
  <si>
    <t>MF TECH</t>
  </si>
  <si>
    <t>90A(4B) COLUMN PIPE</t>
  </si>
  <si>
    <t>Φ101.6*2.1T*1320L</t>
  </si>
  <si>
    <t>LEVELLING FOOT ASS'Y</t>
  </si>
  <si>
    <t>M6*45L</t>
  </si>
  <si>
    <t>M10*25L</t>
  </si>
  <si>
    <t>소모품</t>
  </si>
  <si>
    <t>M10</t>
  </si>
  <si>
    <t>소모품1</t>
  </si>
  <si>
    <t>소모품2</t>
  </si>
  <si>
    <t>FW2510-N2-80S-6K-UV4</t>
  </si>
  <si>
    <t>SHSV-15L-02 (0.93 Mpa 15AX15A) He20</t>
  </si>
  <si>
    <t>SHSV-15L-02 (0.97 Mpa 15AX15A) N2 80</t>
  </si>
  <si>
    <t>Part List 작성완료</t>
  </si>
  <si>
    <t>MFC 20</t>
  </si>
  <si>
    <t>MFC 10~18</t>
  </si>
  <si>
    <t>5851S O2 50slpm(1/2"VCR)</t>
  </si>
  <si>
    <t>REGULATOR</t>
    <phoneticPr fontId="8" type="noConversion"/>
  </si>
  <si>
    <t>REG1~3</t>
    <phoneticPr fontId="8" type="noConversion"/>
  </si>
  <si>
    <t>AP-TECH</t>
    <phoneticPr fontId="8" type="noConversion"/>
  </si>
  <si>
    <t>생산의뢰서 번호 :</t>
    <phoneticPr fontId="8" type="noConversion"/>
  </si>
  <si>
    <t>작성일 : 2012.11.02</t>
    <phoneticPr fontId="8" type="noConversion"/>
  </si>
  <si>
    <t>REV_0</t>
    <phoneticPr fontId="2" type="noConversion"/>
  </si>
  <si>
    <t>삼성광통신 VMB CASE (750X550X1300)</t>
    <phoneticPr fontId="8" type="noConversion"/>
  </si>
  <si>
    <t>3M30100075</t>
  </si>
  <si>
    <t>FM2</t>
  </si>
  <si>
    <t>SV</t>
  </si>
  <si>
    <t>S8SMN</t>
  </si>
  <si>
    <t>TEE</t>
  </si>
  <si>
    <t>ELBOW</t>
  </si>
  <si>
    <t>3M6ZZ00236</t>
  </si>
  <si>
    <t>MICRO REDUCER TEE</t>
  </si>
  <si>
    <t>REDUCING TEE</t>
  </si>
  <si>
    <t>S12PG</t>
  </si>
  <si>
    <t>3M60100126</t>
  </si>
  <si>
    <t>UNI LOK</t>
  </si>
  <si>
    <t>3O30200004</t>
  </si>
  <si>
    <t>3O30200006</t>
  </si>
  <si>
    <t>3O30200008</t>
  </si>
  <si>
    <t>3O31501004</t>
  </si>
  <si>
    <t>3O31491013</t>
  </si>
  <si>
    <t>3O31101183</t>
  </si>
  <si>
    <t>3O31101204</t>
  </si>
  <si>
    <t>3O31101108</t>
  </si>
  <si>
    <t>3O20100005</t>
  </si>
  <si>
    <t>PL6-01M</t>
  </si>
  <si>
    <t>3MB0100011</t>
  </si>
  <si>
    <t>3O31480003</t>
  </si>
  <si>
    <t>3O31480006</t>
  </si>
  <si>
    <t>3O3ZZ00001</t>
  </si>
  <si>
    <t>Molecular Sieve</t>
  </si>
  <si>
    <t>수출용(대)</t>
  </si>
  <si>
    <t>3O31201001</t>
  </si>
  <si>
    <t>AV1,2</t>
  </si>
  <si>
    <t xml:space="preserve">CVB-25PW5-6LCT-NC-BA </t>
  </si>
  <si>
    <t>3M22900022</t>
  </si>
  <si>
    <t>AV3,4</t>
  </si>
  <si>
    <t>CVB-25PW5-6LCT-NC-EP</t>
  </si>
  <si>
    <t>3M22900023</t>
  </si>
  <si>
    <t xml:space="preserve">CVB-25PW5-6LCT-BA </t>
  </si>
  <si>
    <t>3M22900020</t>
  </si>
  <si>
    <t>CVB-25PW5-6LCT-EP</t>
  </si>
  <si>
    <t>3M22900021</t>
  </si>
  <si>
    <t>6L-CW4VR8</t>
  </si>
  <si>
    <t>3M6ZZ00235</t>
  </si>
  <si>
    <t>3M6ZZ00061</t>
  </si>
  <si>
    <t>3M6ZZ00062</t>
  </si>
  <si>
    <t>PIPE</t>
  </si>
  <si>
    <t>SUS-316L-PIPE-EP-25A</t>
  </si>
  <si>
    <t>3M90500008</t>
  </si>
  <si>
    <t>AP-1410TS-2PW-FV4-FV4</t>
  </si>
  <si>
    <t>3M10100077</t>
  </si>
  <si>
    <t>3M51100063</t>
  </si>
  <si>
    <t>3M51100066</t>
  </si>
  <si>
    <t>3M30300009</t>
  </si>
  <si>
    <t>3M3ZZ00055</t>
  </si>
  <si>
    <t>3M51100065</t>
  </si>
  <si>
    <t>USBHU08-BA</t>
  </si>
  <si>
    <t>3M60100520</t>
  </si>
  <si>
    <t>USBHU04-BA</t>
  </si>
  <si>
    <t>3M6ZZ00314</t>
  </si>
  <si>
    <t>3M6ZZ00273</t>
  </si>
  <si>
    <t>3Y90100072</t>
  </si>
  <si>
    <t>UPLG04S-C</t>
  </si>
  <si>
    <t>3M6ZZ00256</t>
  </si>
  <si>
    <t>UPMG04S-C</t>
  </si>
  <si>
    <t>3M6ZZ00291</t>
  </si>
  <si>
    <t>UCLG04S-BA</t>
  </si>
  <si>
    <t>3M6ZZ00286</t>
  </si>
  <si>
    <t>UCMG04S-BA</t>
  </si>
  <si>
    <t>3M6ZZ00271</t>
  </si>
  <si>
    <t>UPLG08S-C</t>
  </si>
  <si>
    <t>3M6ZZ00257</t>
  </si>
  <si>
    <t>UCLG08S-BA</t>
  </si>
  <si>
    <t>3M6ZZ00315</t>
  </si>
  <si>
    <t>3M6ZZ00267</t>
  </si>
  <si>
    <t>UCLG04L-BA</t>
  </si>
  <si>
    <t>3M6ZZ00289</t>
  </si>
  <si>
    <t>USMN04</t>
  </si>
  <si>
    <t>3M6ZZ00284</t>
  </si>
  <si>
    <t>USMN04HR-LT</t>
  </si>
  <si>
    <t>3M6ZZ00306</t>
  </si>
  <si>
    <t>UP4M04-9-C</t>
  </si>
  <si>
    <t>3M6ZZ00269</t>
  </si>
  <si>
    <t>UC4M04-9-BA</t>
  </si>
  <si>
    <t>3M6ZZ00251</t>
  </si>
  <si>
    <t>UP8M04-9-C</t>
  </si>
  <si>
    <t>3M6ZZ00259</t>
  </si>
  <si>
    <t>UP4M04-3-C</t>
  </si>
  <si>
    <t>3M6ZZ00250</t>
  </si>
  <si>
    <t>UC4M04-3-BA</t>
  </si>
  <si>
    <t>3M6ZZ00268</t>
  </si>
  <si>
    <t>UP4M04-91-C</t>
  </si>
  <si>
    <t>3M6ZZ00347</t>
  </si>
  <si>
    <t>UP4M04-4-C</t>
  </si>
  <si>
    <t>3M60300141</t>
  </si>
  <si>
    <t>3M60100521</t>
  </si>
  <si>
    <t>UC8M04-6-4-BA</t>
  </si>
  <si>
    <t>3M6ZZ00294</t>
  </si>
  <si>
    <t>UP8M04-6-4-C</t>
  </si>
  <si>
    <t>3M6ZZ00280</t>
  </si>
  <si>
    <t>USCP04</t>
  </si>
  <si>
    <t>3M6ZZ00252</t>
  </si>
  <si>
    <t>USCP08</t>
  </si>
  <si>
    <t>3M6ZZ00253</t>
  </si>
  <si>
    <t>USPG04</t>
  </si>
  <si>
    <t>3M6ZZ00296</t>
  </si>
  <si>
    <t>3O10500124</t>
  </si>
  <si>
    <t>GTPTNV-420P1(-15-200)</t>
  </si>
  <si>
    <t>3M40100044</t>
  </si>
  <si>
    <t>GEMTECH</t>
  </si>
  <si>
    <t>GTPSNV-420P1(-15-200)</t>
  </si>
  <si>
    <t>3M40100040</t>
  </si>
  <si>
    <t>3M20100048</t>
  </si>
  <si>
    <t>3M6ZZ00297</t>
  </si>
  <si>
    <t>삼성광통신 Cl2 GC CASE (800X550X1850)</t>
  </si>
  <si>
    <t>3O10500136</t>
  </si>
  <si>
    <t>ADR-N-020</t>
  </si>
  <si>
    <t>AIR VALVE</t>
  </si>
  <si>
    <t>MANUAL VALVE</t>
  </si>
  <si>
    <t>SAFETY VALVE</t>
  </si>
  <si>
    <t>세화테크</t>
  </si>
  <si>
    <t>3M22700019</t>
  </si>
  <si>
    <t>3M50800098</t>
  </si>
  <si>
    <t>LOCK CONNECTOR(1/2"PT-1/2" LOCK)</t>
  </si>
  <si>
    <t>8UFC8R</t>
  </si>
  <si>
    <t>3M60600206</t>
  </si>
  <si>
    <t>8UMC8R</t>
  </si>
  <si>
    <t>3M60600207</t>
  </si>
  <si>
    <t>3M60100248</t>
  </si>
  <si>
    <t>Purifier Line Bracket</t>
  </si>
  <si>
    <t>3O31101101</t>
  </si>
  <si>
    <t>3O31101102</t>
  </si>
  <si>
    <t>1/4"*80H*6HOLE</t>
  </si>
  <si>
    <t>3O31101106</t>
  </si>
  <si>
    <t>방열핀</t>
  </si>
  <si>
    <t>1/4"*800L</t>
  </si>
  <si>
    <t>3O20100007</t>
  </si>
  <si>
    <t>SBM</t>
  </si>
  <si>
    <t>FLOW METER BRACKET</t>
  </si>
  <si>
    <t>FW-1120</t>
  </si>
  <si>
    <t>3O31107001</t>
  </si>
  <si>
    <t>-</t>
  </si>
  <si>
    <t>PL4-01M</t>
  </si>
  <si>
    <t>3MB0100001</t>
  </si>
  <si>
    <t>GAS 배관용 TAG</t>
  </si>
  <si>
    <t>3O31201034</t>
  </si>
  <si>
    <t>3O31209003</t>
  </si>
  <si>
    <t>PF-006</t>
  </si>
  <si>
    <t>3O31410006</t>
  </si>
  <si>
    <t>3M60800001</t>
  </si>
  <si>
    <t>90A(3.5B)*1/2"*W*MS*L21*T2.1*상부</t>
  </si>
  <si>
    <t>3O31801020</t>
  </si>
  <si>
    <t>3O31901045</t>
  </si>
  <si>
    <t>KUROIWA</t>
  </si>
  <si>
    <t>90A(3.5B)*1/2"*W*MS*L21*T2.1*하부</t>
  </si>
  <si>
    <t>COLUMN SUPPORT ASS'Y</t>
  </si>
  <si>
    <t>CS-008</t>
  </si>
  <si>
    <t>150A(6B)*H200</t>
  </si>
  <si>
    <t>3O31701008</t>
  </si>
  <si>
    <t>PIPE CUTTING</t>
  </si>
  <si>
    <t>90A(3.5B) PIPE</t>
  </si>
  <si>
    <t>3O31491008</t>
  </si>
  <si>
    <t>A13</t>
  </si>
  <si>
    <t>3N90200001</t>
  </si>
  <si>
    <t>A19</t>
  </si>
  <si>
    <t>3N90200004</t>
  </si>
  <si>
    <t>SUS 육각 볼트</t>
  </si>
  <si>
    <t>SUS 평 와셔</t>
  </si>
  <si>
    <t>SUS 스프링 와셔</t>
  </si>
  <si>
    <t>SWU3TZM (1")</t>
  </si>
  <si>
    <t>3M2ZZ00232</t>
  </si>
  <si>
    <t>3M22900040</t>
  </si>
  <si>
    <t>CVB-16VF-EP</t>
  </si>
  <si>
    <t>3M22900075</t>
  </si>
  <si>
    <t>3M22900132</t>
  </si>
  <si>
    <t>3M51100060</t>
  </si>
  <si>
    <t>3M51100061</t>
  </si>
  <si>
    <t>3M1ZZ00028</t>
  </si>
  <si>
    <t>3M8ZZ00158</t>
  </si>
  <si>
    <t>3M30100044</t>
  </si>
  <si>
    <t>3M50800261</t>
  </si>
  <si>
    <t>3M50800262</t>
  </si>
  <si>
    <t>3M22700051</t>
  </si>
  <si>
    <t>3M60100533</t>
  </si>
  <si>
    <t>3M60800071</t>
  </si>
  <si>
    <t>3M60800014</t>
  </si>
  <si>
    <t>3M60100144</t>
  </si>
  <si>
    <t>3M6ZZ00341</t>
  </si>
  <si>
    <t>USBHU08-C</t>
  </si>
  <si>
    <t>3M6ZZ00281</t>
  </si>
  <si>
    <t>3M60100522</t>
  </si>
  <si>
    <t>USBHU04-C</t>
  </si>
  <si>
    <t>3M6ZZ00302</t>
  </si>
  <si>
    <t>3M6ZZ00243</t>
  </si>
  <si>
    <t>3M6ZZ00283</t>
  </si>
  <si>
    <t>3M6ZZ00307</t>
  </si>
  <si>
    <t>3M60300048</t>
  </si>
  <si>
    <t>3M6ZZ00245</t>
  </si>
  <si>
    <t>3M6ZZ00667</t>
  </si>
  <si>
    <t>CVC 8-NSM </t>
  </si>
  <si>
    <t>3M60200062</t>
  </si>
  <si>
    <t>3M6ZZ00266</t>
  </si>
  <si>
    <t>3M60100510</t>
  </si>
  <si>
    <t>3M60100150</t>
  </si>
  <si>
    <t>S16FN</t>
  </si>
  <si>
    <t>3M60100147</t>
  </si>
  <si>
    <t>3M6ZZ00288</t>
  </si>
  <si>
    <t>3M6ZZ00298</t>
  </si>
  <si>
    <t>3M6ZZ00292</t>
  </si>
  <si>
    <t>3M6ZZ00196</t>
  </si>
  <si>
    <t>3M6ZZ00336</t>
  </si>
  <si>
    <t>3M60100148</t>
  </si>
  <si>
    <t>S16MN</t>
  </si>
  <si>
    <t>3M60100149</t>
  </si>
  <si>
    <t>3M6ZZ00244</t>
  </si>
  <si>
    <t>3M6ZZ00309</t>
  </si>
  <si>
    <t>3M60200135</t>
  </si>
  <si>
    <t>KITZ</t>
  </si>
  <si>
    <t>3M6ZZ00290</t>
  </si>
  <si>
    <t>3M6ZZ00197</t>
  </si>
  <si>
    <t>3M60100407</t>
  </si>
  <si>
    <t>3M6ZZ00285</t>
  </si>
  <si>
    <t>3M6ZZ00311</t>
  </si>
  <si>
    <t>3M6ZZ00299</t>
  </si>
  <si>
    <t>3M6ZZ00338</t>
  </si>
  <si>
    <t>S16T19-P</t>
  </si>
  <si>
    <t>3M6ZZ00116</t>
  </si>
  <si>
    <t>3M6ZZ00358</t>
  </si>
  <si>
    <t>3M6ZZ00301</t>
  </si>
  <si>
    <t>3M6ZZ00330</t>
  </si>
  <si>
    <t>3M6ZZ00313</t>
  </si>
  <si>
    <t>3M6ZZ00310</t>
  </si>
  <si>
    <t>3M6ZZ00300</t>
  </si>
  <si>
    <t>3M60100339</t>
  </si>
  <si>
    <t>S16x12E19-P</t>
  </si>
  <si>
    <t>3M60100436</t>
  </si>
  <si>
    <t>3M6ZZ00312</t>
  </si>
  <si>
    <t>3M60300018</t>
  </si>
  <si>
    <t>3M6ZZ00247</t>
  </si>
  <si>
    <t>3M6ZZ00369</t>
  </si>
  <si>
    <t>3M6ZZ00248</t>
  </si>
  <si>
    <t>S16x4T19-P</t>
  </si>
  <si>
    <t>3M60100424</t>
  </si>
  <si>
    <t>S16x12T19-P</t>
  </si>
  <si>
    <t>3M60100437</t>
  </si>
  <si>
    <t>3M90500005</t>
  </si>
  <si>
    <t>USPG08</t>
  </si>
  <si>
    <t>USCP12</t>
  </si>
  <si>
    <t>3M6ZZ00342</t>
  </si>
  <si>
    <t>3M6ZZ00370</t>
  </si>
  <si>
    <t>1"*L22*T2.1</t>
  </si>
  <si>
    <t>40A"*L30*T2.1</t>
  </si>
  <si>
    <t>S16GR</t>
  </si>
  <si>
    <t>3M60100319</t>
  </si>
  <si>
    <t>S4HFN</t>
  </si>
  <si>
    <t>3M60100420</t>
  </si>
  <si>
    <t>S4HMN</t>
  </si>
  <si>
    <t>3M60100315</t>
  </si>
  <si>
    <t>3M60100419</t>
  </si>
  <si>
    <t>5851S MFM BRACKET</t>
  </si>
  <si>
    <t>3O31101284</t>
  </si>
  <si>
    <t>3O31101285</t>
  </si>
  <si>
    <t>1"*30H</t>
  </si>
  <si>
    <t>3O31101147</t>
  </si>
  <si>
    <t>3O31101267</t>
  </si>
  <si>
    <t>3O31430007</t>
  </si>
  <si>
    <t>3O10500181</t>
  </si>
  <si>
    <t>AIR FITTING 가공</t>
  </si>
  <si>
    <t>Air Fitting(PL4-M5M) 가공</t>
  </si>
  <si>
    <t>3MB0100006</t>
  </si>
  <si>
    <t>Φ80*130L</t>
  </si>
  <si>
    <t>3O31902004</t>
  </si>
  <si>
    <t>3O31101075</t>
  </si>
  <si>
    <t>3O31101076</t>
  </si>
  <si>
    <t>3O31101077</t>
  </si>
  <si>
    <t>PALL</t>
  </si>
  <si>
    <t>충 진 물</t>
  </si>
  <si>
    <t>ATTO</t>
  </si>
  <si>
    <t>SRS</t>
  </si>
  <si>
    <t>3M60100342</t>
  </si>
  <si>
    <t>5965S O2 100slpm(1/2"VCR)</t>
  </si>
  <si>
    <t>3M51100047</t>
  </si>
  <si>
    <t>RF53N-ES (3/8 NPT-F)</t>
  </si>
  <si>
    <t>3M22700070</t>
  </si>
  <si>
    <t>WISE</t>
  </si>
  <si>
    <t>3M60100255</t>
  </si>
  <si>
    <t>06UMC-06N</t>
  </si>
  <si>
    <t>3M60800048</t>
  </si>
  <si>
    <t>REG1,3,4,5</t>
  </si>
  <si>
    <t>AZ1206S-4PW-FV8-FV8-FV4-FV4</t>
  </si>
  <si>
    <t>3M10300065</t>
  </si>
  <si>
    <t>AP-1510S-4PW-MV4-MV4-FV4-FV4</t>
  </si>
  <si>
    <t>3M10300022</t>
  </si>
  <si>
    <t>5850S H2 2 slpm(1/4"VCR)</t>
  </si>
  <si>
    <t>3M51100039</t>
  </si>
  <si>
    <t>5850S H2 10 slpm(1/4"VCR)</t>
  </si>
  <si>
    <t>3M51100040</t>
  </si>
  <si>
    <t>5851S H2 50 slpm(1/2"VCR)</t>
  </si>
  <si>
    <t>3M51100045</t>
  </si>
  <si>
    <t>5851S H2 100 slpm(1/2"VCR)</t>
  </si>
  <si>
    <t>3M51100046</t>
  </si>
  <si>
    <t>5850S Ar 10slpm(1/4"VCR)</t>
  </si>
  <si>
    <t>3M51100035</t>
  </si>
  <si>
    <t>5851S O2 40 slpm(1/4"VCR)</t>
  </si>
  <si>
    <t>3M51100043</t>
  </si>
  <si>
    <t>5851S O2 50 slpm(1/2"VCR)</t>
  </si>
  <si>
    <t>3M51100044</t>
  </si>
  <si>
    <t>MV1,4~7</t>
  </si>
  <si>
    <t>3M90100005</t>
  </si>
  <si>
    <t>S8PG</t>
  </si>
  <si>
    <t>GASKET</t>
  </si>
  <si>
    <t>NGT12R</t>
  </si>
  <si>
    <t>PRIMET</t>
  </si>
  <si>
    <t>FUJIKIN</t>
  </si>
  <si>
    <t>3O10210001</t>
  </si>
  <si>
    <t>3O31106001</t>
  </si>
  <si>
    <t>3O31410001</t>
  </si>
  <si>
    <t>3O10110001</t>
  </si>
  <si>
    <t>3O31101004</t>
  </si>
  <si>
    <t>3O31102003</t>
  </si>
  <si>
    <t>3O31430002</t>
  </si>
  <si>
    <t>3O31430003</t>
  </si>
  <si>
    <t>3O31430004</t>
  </si>
  <si>
    <t>3O31470001</t>
  </si>
  <si>
    <t>3O31470002</t>
  </si>
  <si>
    <t>3O31104011</t>
  </si>
  <si>
    <t>3O10200011</t>
  </si>
  <si>
    <t>2WAY PNEUMATIC VALVE</t>
  </si>
  <si>
    <t>3M20300031</t>
  </si>
  <si>
    <t>3M20300009</t>
  </si>
  <si>
    <t>3M20100015</t>
  </si>
  <si>
    <t>3M22700015</t>
  </si>
  <si>
    <t>KITZ SCT</t>
  </si>
  <si>
    <t>PRESSURE TRANSDUCER</t>
  </si>
  <si>
    <t>PNEUMATIC BLOCK VALVE</t>
  </si>
  <si>
    <t>VACUUM GENERATROR</t>
  </si>
  <si>
    <t>V.G</t>
  </si>
  <si>
    <t>VG4-55521</t>
  </si>
  <si>
    <t>3M6VG00013</t>
  </si>
  <si>
    <t>MOTOYAMA</t>
  </si>
  <si>
    <t>3M20600006</t>
  </si>
  <si>
    <t>AIR BLEED VALVE</t>
  </si>
  <si>
    <t>3M20300020</t>
  </si>
  <si>
    <t>3M20300045</t>
  </si>
  <si>
    <t>3M20300038</t>
  </si>
  <si>
    <t>3M20300029</t>
  </si>
  <si>
    <t>3M20100060</t>
  </si>
  <si>
    <t>3M60600180</t>
  </si>
  <si>
    <t>SS-QC4-D-400</t>
  </si>
  <si>
    <t>3M60600178</t>
  </si>
  <si>
    <t>3M20100051</t>
  </si>
  <si>
    <t>3M22700022</t>
  </si>
  <si>
    <t>3M5ZZ00033</t>
  </si>
  <si>
    <t>COPAL</t>
  </si>
  <si>
    <t>Flashback Arrestors</t>
  </si>
  <si>
    <t>WITT</t>
  </si>
  <si>
    <t>3M20300008</t>
  </si>
  <si>
    <t>NEEDLE VALVE</t>
  </si>
  <si>
    <t>KD4CS-VFRC-L-824-SEP</t>
  </si>
  <si>
    <t>2WAY MANUAL VALVE</t>
  </si>
  <si>
    <t>6L-CW4VR4-P</t>
  </si>
  <si>
    <t>발주사 : 삼성전자 광통신</t>
    <phoneticPr fontId="8" type="noConversion"/>
  </si>
  <si>
    <t>3M60100174</t>
  </si>
  <si>
    <t>3M60100012</t>
  </si>
  <si>
    <t>D4CT6-PX</t>
  </si>
  <si>
    <t>3M60100040</t>
  </si>
  <si>
    <t>종합</t>
  </si>
  <si>
    <t>신광테크</t>
  </si>
  <si>
    <t>1/4" S/W</t>
  </si>
  <si>
    <t>PREFILTER</t>
  </si>
  <si>
    <t>180X90X10T</t>
  </si>
  <si>
    <t>무지개필터</t>
  </si>
  <si>
    <t>CYLINDER 고정 CHAIN</t>
  </si>
  <si>
    <t>실린더 고정용 CHAIN</t>
  </si>
  <si>
    <t>CYLINDER 고정 BELT</t>
  </si>
  <si>
    <t>1M*제작</t>
  </si>
  <si>
    <t>FOOT MASTER</t>
  </si>
  <si>
    <t>대한 공구</t>
  </si>
  <si>
    <t>VALEX</t>
  </si>
  <si>
    <t>TAE KWANG</t>
  </si>
  <si>
    <t>D4SG19-PX</t>
  </si>
  <si>
    <t>S4FN</t>
  </si>
  <si>
    <t>S8FN</t>
  </si>
  <si>
    <t>D4LG19-PX</t>
  </si>
  <si>
    <t>S4MN</t>
  </si>
  <si>
    <t>D4E6-PX</t>
  </si>
  <si>
    <t>D4T6-PX</t>
  </si>
  <si>
    <t>S4CP</t>
  </si>
  <si>
    <t>S8CP</t>
  </si>
  <si>
    <t>UJR-6.35RE-RG-NI-O</t>
  </si>
  <si>
    <t>UJR-9.52RE-RG-NI-O</t>
  </si>
  <si>
    <t>가스 특성 테이프</t>
  </si>
  <si>
    <t>3M60700027</t>
  </si>
  <si>
    <t>3M60100030</t>
  </si>
  <si>
    <t>3M60100034</t>
  </si>
  <si>
    <t>3M60100193</t>
  </si>
  <si>
    <t>3M60100183</t>
  </si>
  <si>
    <t>3M60100240</t>
  </si>
  <si>
    <t>3M60100232</t>
  </si>
  <si>
    <t>3M60100023</t>
  </si>
  <si>
    <t>FW1120-N2-50S-3K-UV2</t>
  </si>
  <si>
    <t>NSL0425-01</t>
  </si>
  <si>
    <t>3MB0100005</t>
  </si>
  <si>
    <t>SAFETY LABEL</t>
  </si>
  <si>
    <t>SL-001</t>
  </si>
  <si>
    <t>SL-002</t>
  </si>
  <si>
    <t>SL-003</t>
  </si>
  <si>
    <t>SL-004</t>
  </si>
  <si>
    <t>SL-005</t>
  </si>
  <si>
    <t>보호구착용</t>
  </si>
  <si>
    <t>SL-006</t>
  </si>
  <si>
    <t>SL-007</t>
  </si>
  <si>
    <t>SL-008</t>
  </si>
  <si>
    <t>고압위험</t>
  </si>
  <si>
    <t>3O31201017</t>
  </si>
  <si>
    <t>SL-020</t>
  </si>
  <si>
    <t>800*100(RED)</t>
  </si>
  <si>
    <t>3O31201029</t>
  </si>
  <si>
    <t>SL-021</t>
  </si>
  <si>
    <t>800*100(YELLOW)</t>
  </si>
  <si>
    <t>3O31201030</t>
  </si>
  <si>
    <t>SL-022</t>
  </si>
  <si>
    <t>800*100(GREEN)</t>
  </si>
  <si>
    <t>3O31201031</t>
  </si>
  <si>
    <t>RB-002</t>
  </si>
  <si>
    <t>VB-003</t>
  </si>
  <si>
    <t>VB-001</t>
  </si>
  <si>
    <t>VB-002</t>
  </si>
  <si>
    <t>LB-004</t>
  </si>
  <si>
    <t>RB-012</t>
  </si>
  <si>
    <t>3O31104012</t>
  </si>
  <si>
    <t>PT3A.B, PT4</t>
  </si>
  <si>
    <t>KD4CB-VFC-B-410-SEP</t>
  </si>
  <si>
    <t>3M21000016</t>
  </si>
  <si>
    <t>CV3A.B, CV5</t>
  </si>
  <si>
    <t>6L-CW4VR4</t>
  </si>
  <si>
    <t>3M22700008</t>
  </si>
  <si>
    <t>POU-3-HSV1</t>
  </si>
  <si>
    <t>3M30400023</t>
  </si>
  <si>
    <t>SUS304</t>
  </si>
  <si>
    <t>3O11000005</t>
  </si>
  <si>
    <t>SP-001</t>
  </si>
  <si>
    <t>3O31310001</t>
  </si>
  <si>
    <t>PF-001</t>
  </si>
  <si>
    <t>PF-002</t>
  </si>
  <si>
    <t>287X90X10T</t>
  </si>
  <si>
    <t>3O31410002</t>
  </si>
  <si>
    <t>DOOR CLOSER</t>
  </si>
  <si>
    <t>HDC-11P</t>
  </si>
  <si>
    <t>3MA0100006</t>
  </si>
  <si>
    <t>RYOBI</t>
  </si>
  <si>
    <t>영문 상호 STICKER</t>
  </si>
  <si>
    <t>수출용 VMB</t>
  </si>
  <si>
    <t>3O31201006</t>
  </si>
  <si>
    <t>GAS NAME STICKER(수출)</t>
  </si>
  <si>
    <t>3O31201004</t>
  </si>
  <si>
    <t>SL-011</t>
  </si>
  <si>
    <t>수출-폭발</t>
  </si>
  <si>
    <t>3O31201020</t>
  </si>
  <si>
    <t>SL-012</t>
  </si>
  <si>
    <t>수출-부식</t>
  </si>
  <si>
    <t>3O31201021</t>
  </si>
  <si>
    <t>SL-013</t>
  </si>
  <si>
    <t>수출-인화성물질(가연성)</t>
  </si>
  <si>
    <t>3O31201022</t>
  </si>
  <si>
    <t>SL-014</t>
  </si>
  <si>
    <t>수출-독성물질</t>
  </si>
  <si>
    <t>3O31201023</t>
  </si>
  <si>
    <t>SL-015</t>
  </si>
  <si>
    <t>수출-워닝(G/C)</t>
  </si>
  <si>
    <t>3O31201024</t>
  </si>
  <si>
    <t>DAMPER OPEN/CLOSE</t>
  </si>
  <si>
    <t>SL-023</t>
  </si>
  <si>
    <t>OPEN</t>
  </si>
  <si>
    <t>3O31201032</t>
  </si>
  <si>
    <t>SL-024</t>
  </si>
  <si>
    <t>CLOSE</t>
  </si>
  <si>
    <t>3O31201033</t>
  </si>
  <si>
    <t>4UBU-SS</t>
  </si>
  <si>
    <t>UNILOK</t>
  </si>
  <si>
    <t>BROOKS</t>
  </si>
  <si>
    <t>3M90100003</t>
  </si>
  <si>
    <t>3M90100001</t>
  </si>
  <si>
    <t>3M60100194</t>
  </si>
  <si>
    <t>3M60100196</t>
  </si>
  <si>
    <t>3M60100210</t>
  </si>
  <si>
    <t>3M60100241</t>
  </si>
  <si>
    <t>3M60100189</t>
  </si>
  <si>
    <t>3M60100208</t>
  </si>
  <si>
    <t>3M60100237</t>
  </si>
  <si>
    <t>3M60100181</t>
  </si>
  <si>
    <t>3M60100231</t>
  </si>
  <si>
    <t>3M60100202</t>
  </si>
  <si>
    <t>3M60100245</t>
  </si>
  <si>
    <t>3M60100226</t>
  </si>
  <si>
    <t>3M60100175</t>
  </si>
  <si>
    <t>LF1</t>
  </si>
  <si>
    <t>3M60100188</t>
  </si>
  <si>
    <t>3M60100191</t>
  </si>
  <si>
    <t>3M60100018</t>
  </si>
  <si>
    <t>3M60100180</t>
  </si>
  <si>
    <t>3M60100038</t>
  </si>
  <si>
    <t>3M60100201</t>
  </si>
  <si>
    <t>SHORT GLAND</t>
  </si>
  <si>
    <t>FEMALE NUT</t>
  </si>
  <si>
    <t>3O31201010</t>
  </si>
  <si>
    <t>3O31201011</t>
  </si>
  <si>
    <t>3O31201012</t>
  </si>
  <si>
    <t>3O31201013</t>
  </si>
  <si>
    <t>3O31201014</t>
  </si>
  <si>
    <t>3M60100010</t>
  </si>
  <si>
    <t>3M60600192</t>
  </si>
  <si>
    <t>QUICK CONNECT</t>
  </si>
  <si>
    <t>MAKER</t>
    <phoneticPr fontId="8" type="noConversion"/>
  </si>
  <si>
    <t>합계수량</t>
    <phoneticPr fontId="8" type="noConversion"/>
  </si>
  <si>
    <t>비고</t>
    <phoneticPr fontId="8" type="noConversion"/>
  </si>
  <si>
    <t>PART LIST &lt; GAS CABINET &gt;</t>
    <phoneticPr fontId="8" type="noConversion"/>
  </si>
  <si>
    <t>3M60100195</t>
  </si>
  <si>
    <t>생산의뢰서 번호:</t>
    <phoneticPr fontId="8" type="noConversion"/>
  </si>
  <si>
    <t>발주사:</t>
    <phoneticPr fontId="8" type="noConversion"/>
  </si>
  <si>
    <t>작성일:</t>
    <phoneticPr fontId="8" type="noConversion"/>
  </si>
  <si>
    <t>*중요항목</t>
    <phoneticPr fontId="8" type="noConversion"/>
  </si>
  <si>
    <t>***중요항목</t>
    <phoneticPr fontId="8" type="noConversion"/>
  </si>
  <si>
    <t>번호</t>
    <phoneticPr fontId="8" type="noConversion"/>
  </si>
  <si>
    <t>Model 등록번호</t>
    <phoneticPr fontId="8" type="noConversion"/>
  </si>
  <si>
    <t>수량</t>
    <phoneticPr fontId="8" type="noConversion"/>
  </si>
  <si>
    <t>종류</t>
    <phoneticPr fontId="8" type="noConversion"/>
  </si>
  <si>
    <t>규격 및 도면번호</t>
    <phoneticPr fontId="8" type="noConversion"/>
  </si>
  <si>
    <t>설계자</t>
    <phoneticPr fontId="8" type="noConversion"/>
  </si>
  <si>
    <t>CODE NO.</t>
  </si>
  <si>
    <t>번호</t>
    <phoneticPr fontId="8" type="noConversion"/>
  </si>
  <si>
    <t>품  명</t>
    <phoneticPr fontId="8" type="noConversion"/>
  </si>
  <si>
    <t>도면번호</t>
    <phoneticPr fontId="8" type="noConversion"/>
  </si>
  <si>
    <t>규  격</t>
    <phoneticPr fontId="8" type="noConversion"/>
  </si>
  <si>
    <t>재  질</t>
    <phoneticPr fontId="8" type="noConversion"/>
  </si>
  <si>
    <t>ERP CODE</t>
    <phoneticPr fontId="8" type="noConversion"/>
  </si>
  <si>
    <t>3M60100177</t>
  </si>
  <si>
    <t>3M60100088</t>
  </si>
  <si>
    <t>3M70300030</t>
  </si>
  <si>
    <t>3Y90100141</t>
  </si>
  <si>
    <t>3M90200001</t>
  </si>
  <si>
    <t>3M90300003</t>
  </si>
  <si>
    <t>삼보 금속</t>
  </si>
  <si>
    <t>BLOCK VALVE BRACKET</t>
  </si>
  <si>
    <t xml:space="preserve">1/4" HI BLOCK-VALVE </t>
  </si>
  <si>
    <t xml:space="preserve">1/4" LOW BLOCK-VALVE </t>
  </si>
  <si>
    <t>PT BRACKET</t>
  </si>
  <si>
    <t>1/4" PT</t>
  </si>
  <si>
    <t>REG BRACKET</t>
  </si>
  <si>
    <t>LONG GLAND</t>
  </si>
  <si>
    <t>MALE NUT</t>
  </si>
  <si>
    <t>MICRO ELBOW</t>
  </si>
  <si>
    <t>MICRO TEE</t>
  </si>
  <si>
    <t>TUBE</t>
  </si>
  <si>
    <t>SUS-316L-BA-TUBE-1/4"</t>
  </si>
  <si>
    <t>VALVE BRACKET</t>
  </si>
  <si>
    <t>LINE BRACKET</t>
  </si>
  <si>
    <t>PANEL</t>
  </si>
  <si>
    <t>SUS 1.5T</t>
  </si>
  <si>
    <t>STD-RET-002</t>
  </si>
  <si>
    <t>3/8",1/2" VCR</t>
  </si>
  <si>
    <t>MC-60S</t>
  </si>
  <si>
    <t>REGULATOR</t>
  </si>
  <si>
    <t>NUPRO</t>
  </si>
  <si>
    <t>SWAGELOK UNION</t>
  </si>
  <si>
    <t>SWAGELOK</t>
  </si>
  <si>
    <t>SS-400-P</t>
  </si>
  <si>
    <t>MICRO CROSS</t>
  </si>
  <si>
    <t>SUS-316L-EP-TUBE-1/4" DM</t>
  </si>
  <si>
    <t>SUS-316L-BA-TUBE-1/2"</t>
  </si>
  <si>
    <t>신광 테크</t>
  </si>
  <si>
    <t>미륭 상사</t>
  </si>
  <si>
    <t>SERIAL 명판</t>
  </si>
  <si>
    <t>CASE</t>
  </si>
  <si>
    <t>2B/T 1DOOR(국내용)</t>
  </si>
  <si>
    <t>DAMPER ASS'Y</t>
  </si>
  <si>
    <t>MANUAL(100)</t>
  </si>
  <si>
    <t>CYLINDER BRAKET</t>
  </si>
  <si>
    <t>RETAINER</t>
  </si>
  <si>
    <t>STD-RET-001</t>
  </si>
  <si>
    <t>1/4" VCR &amp; 3/8" S/W</t>
  </si>
  <si>
    <t>3M60100218</t>
  </si>
  <si>
    <t>3MB0100002</t>
  </si>
  <si>
    <t>MICRO REDUCER</t>
  </si>
  <si>
    <t>D8X4R10-PX</t>
  </si>
  <si>
    <t>SUS-316L-EP-TUBE-1/2" DM</t>
  </si>
  <si>
    <t>CAP</t>
  </si>
  <si>
    <t>PLUG</t>
  </si>
  <si>
    <t>S4PG</t>
  </si>
  <si>
    <t>3O31201015</t>
  </si>
  <si>
    <t>3O31201016</t>
  </si>
  <si>
    <t>MYKROLIS</t>
  </si>
  <si>
    <t>WG2F36WR1</t>
  </si>
  <si>
    <t>AP-TECH</t>
  </si>
  <si>
    <t>REG1A,B</t>
  </si>
  <si>
    <t>LB-028</t>
  </si>
  <si>
    <t>LB-026</t>
  </si>
  <si>
    <t>KD4MS-VFC-SEP</t>
  </si>
  <si>
    <t>SD4MS-VFC-EP</t>
  </si>
  <si>
    <t>KD4CS-VFC-EP</t>
  </si>
  <si>
    <t>KD4CS-VFC-SEP</t>
  </si>
  <si>
    <t>AV1</t>
  </si>
  <si>
    <t>KD4OS-VFC-SEP</t>
  </si>
  <si>
    <t>AV2.5A,B</t>
  </si>
  <si>
    <t>B23HKD4C-VFC-AL-822-SEP</t>
  </si>
  <si>
    <t>3WAY PNEUMATIC VALVE</t>
  </si>
  <si>
    <t>AV1A,B</t>
  </si>
  <si>
    <t>LINE FILTER</t>
  </si>
  <si>
    <t>LF1,2,3</t>
  </si>
  <si>
    <t>LF1A.B, LF2</t>
  </si>
  <si>
    <t>POU-3-HV1</t>
  </si>
  <si>
    <t>MOTT</t>
  </si>
  <si>
    <t>PT1A,B</t>
  </si>
  <si>
    <t>PRESSURE GAUGE</t>
  </si>
  <si>
    <t>FLOW METER</t>
  </si>
  <si>
    <t>FM1,2</t>
  </si>
  <si>
    <t>FLUCON</t>
  </si>
  <si>
    <t>MASS FLOW METER</t>
  </si>
  <si>
    <t>MASS FLOW CONTROLLER</t>
  </si>
  <si>
    <t>AIR FITTING</t>
  </si>
  <si>
    <t>PISCO</t>
  </si>
  <si>
    <t>SLIDER</t>
  </si>
  <si>
    <t>SUS-3T</t>
  </si>
  <si>
    <t>AL6062 T6</t>
  </si>
  <si>
    <t>폭발</t>
  </si>
  <si>
    <t>부식</t>
  </si>
  <si>
    <t>인화성물질</t>
  </si>
  <si>
    <t>독성물질</t>
  </si>
  <si>
    <t>임의조작금지</t>
  </si>
  <si>
    <t>SUNLOID</t>
  </si>
  <si>
    <t>중량물취급주의</t>
  </si>
  <si>
    <t>3O31101005</t>
  </si>
  <si>
    <t>3O31101026</t>
  </si>
  <si>
    <t>미륭상사</t>
  </si>
  <si>
    <t>3M60100109</t>
  </si>
  <si>
    <t>3M60800002</t>
  </si>
  <si>
    <t>3M6ZZ00091</t>
  </si>
  <si>
    <t>3M6ZZ00084</t>
  </si>
  <si>
    <t>3M6ZZ00085</t>
  </si>
  <si>
    <t>3M6ZZ00086</t>
  </si>
  <si>
    <t>3M6ZZ00088</t>
  </si>
  <si>
    <t>3S99994050</t>
  </si>
  <si>
    <t>3M6ZZ00087</t>
  </si>
  <si>
    <t>3M6ZZ00089</t>
  </si>
  <si>
    <t>AP-1506SM-2PW-MV4-FV4</t>
  </si>
  <si>
    <t>UNI-LOK</t>
  </si>
  <si>
    <t>3M90400002</t>
  </si>
  <si>
    <t>1"*1.65T*4000*EP</t>
  </si>
  <si>
    <t>3M50800059</t>
  </si>
  <si>
    <t>3M60100105</t>
  </si>
  <si>
    <t>3M60300004</t>
  </si>
  <si>
    <t>3M30400018</t>
  </si>
  <si>
    <t>3M30300041</t>
  </si>
  <si>
    <t>3M30300042</t>
  </si>
  <si>
    <t>3M30300043</t>
  </si>
  <si>
    <t>3M50800056</t>
  </si>
  <si>
    <t>3M1ZZ00038</t>
  </si>
  <si>
    <t>3M50800057</t>
  </si>
  <si>
    <t>D4SG6-PX</t>
  </si>
  <si>
    <t>AV9</t>
  </si>
  <si>
    <t>CHECK VALVE</t>
  </si>
  <si>
    <t>3O31101007</t>
  </si>
  <si>
    <t>3M60100239</t>
  </si>
  <si>
    <t>3O31101024</t>
  </si>
  <si>
    <t>3O31101025</t>
  </si>
  <si>
    <t>LB-027</t>
  </si>
  <si>
    <t>3O31101027</t>
  </si>
  <si>
    <t>3M60100225</t>
  </si>
  <si>
    <t>3M60100309</t>
  </si>
  <si>
    <t>3M60100238</t>
  </si>
  <si>
    <t>3O31101006</t>
  </si>
  <si>
    <t>RE-005</t>
  </si>
  <si>
    <t>3O31430005</t>
  </si>
  <si>
    <t>RE-006</t>
  </si>
  <si>
    <t>3O31430006</t>
  </si>
  <si>
    <t>3M90200003</t>
  </si>
  <si>
    <t>3M90300001</t>
  </si>
  <si>
    <t>3M60100176</t>
  </si>
  <si>
    <t>3M60100227</t>
  </si>
  <si>
    <t>3M60100192</t>
  </si>
  <si>
    <t>3M60400025</t>
  </si>
  <si>
    <t>3M60400034</t>
  </si>
  <si>
    <t>GS-002</t>
  </si>
  <si>
    <t>수출용 G/C</t>
  </si>
  <si>
    <t>3O31201002</t>
  </si>
  <si>
    <t>3M10100109</t>
    <phoneticPr fontId="2" type="noConversion"/>
  </si>
  <si>
    <t>내자단가</t>
    <phoneticPr fontId="2" type="noConversion"/>
  </si>
  <si>
    <t>금액</t>
    <phoneticPr fontId="2" type="noConversion"/>
  </si>
  <si>
    <t>적용환율</t>
    <phoneticPr fontId="2" type="noConversion"/>
  </si>
  <si>
    <t>11월08일</t>
    <phoneticPr fontId="2" type="noConversion"/>
  </si>
  <si>
    <t>$1 - 1087.1</t>
    <phoneticPr fontId="2" type="noConversion"/>
  </si>
  <si>
    <t>￥100-1359.47</t>
    <phoneticPr fontId="2" type="noConversion"/>
  </si>
  <si>
    <t>TOTAL</t>
    <phoneticPr fontId="2" type="noConversion"/>
  </si>
  <si>
    <t>3M10200154</t>
    <phoneticPr fontId="2" type="noConversion"/>
  </si>
  <si>
    <t>CONTROLLER TOTAL</t>
    <phoneticPr fontId="2" type="noConversion"/>
  </si>
  <si>
    <t>러버히터 &amp; 히터</t>
    <phoneticPr fontId="2" type="noConversion"/>
  </si>
  <si>
    <t>생산의뢰번호</t>
    <phoneticPr fontId="2" type="noConversion"/>
  </si>
  <si>
    <t>대분류</t>
    <phoneticPr fontId="2" type="noConversion"/>
  </si>
  <si>
    <t>중분류</t>
    <phoneticPr fontId="2" type="noConversion"/>
  </si>
  <si>
    <t>소분류</t>
    <phoneticPr fontId="2" type="noConversion"/>
  </si>
  <si>
    <t>Rev</t>
    <phoneticPr fontId="2" type="noConversion"/>
  </si>
  <si>
    <t>작성자</t>
    <phoneticPr fontId="2" type="noConversion"/>
  </si>
  <si>
    <t>작성일</t>
    <phoneticPr fontId="2" type="noConversion"/>
  </si>
  <si>
    <t>제작수량</t>
    <phoneticPr fontId="2" type="noConversion"/>
  </si>
  <si>
    <t>특이사항</t>
    <phoneticPr fontId="2" type="noConversion"/>
  </si>
  <si>
    <t>발주업체</t>
    <phoneticPr fontId="8" type="noConversion"/>
  </si>
  <si>
    <t>품목 MERGE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</si>
</sst>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mm&quot;월&quot;\ dd&quot;일&quot;"/>
    <numFmt numFmtId="178" formatCode="&quot;Model &quot;#00000"/>
    <numFmt numFmtId="179" formatCode="&quot;₩&quot;#,##0.00\ ;\(&quot;₩&quot;#,##0.00\)"/>
    <numFmt numFmtId="180" formatCode="&quot;₩&quot;#,##0;&quot;₩&quot;\-#,##0"/>
    <numFmt numFmtId="181" formatCode="_ &quot;₩&quot;* #,##0_ ;_ &quot;₩&quot;* \-#,##0_ ;_ &quot;₩&quot;* &quot;-&quot;_ ;_ @_ "/>
    <numFmt numFmtId="182" formatCode="_ &quot;₩&quot;* #,##0.00_ ;_ &quot;₩&quot;* \-#,##0.00_ ;_ &quot;₩&quot;* &quot;-&quot;??_ ;_ @_ "/>
    <numFmt numFmtId="183" formatCode="_ * #,##0_ ;_ * \-#,##0_ ;_ * &quot;-&quot;_ ;_ @_ "/>
    <numFmt numFmtId="184" formatCode="_ * #,##0.00_ ;_ * \-#,##0.00_ ;_ * &quot;-&quot;??_ ;_ @_ "/>
    <numFmt numFmtId="185" formatCode="&quot;₩&quot;#,##0;&quot;₩&quot;&quot;₩&quot;&quot;₩&quot;&quot;₩&quot;&quot;₩&quot;&quot;₩&quot;&quot;₩&quot;&quot;₩&quot;\-#,##0"/>
    <numFmt numFmtId="186" formatCode="&quot;₩&quot;#,##0.00;&quot;₩&quot;&quot;₩&quot;&quot;₩&quot;&quot;₩&quot;&quot;₩&quot;&quot;₩&quot;&quot;₩&quot;&quot;₩&quot;\-#,##0.00"/>
    <numFmt numFmtId="187" formatCode="&quot;$&quot;#,##0.00_);[Red]\(&quot;$&quot;#,##0.00\)"/>
    <numFmt numFmtId="188" formatCode="_-[$¥-411]* #,##0.00_-;\-[$¥-411]* #,##0.00_-;_-[$¥-411]* &quot;-&quot;??_-;_-@_-"/>
    <numFmt numFmtId="189" formatCode="_-[$¥-411]* #,##0_-;\-[$¥-411]* #,##0_-;_-[$¥-411]* &quot;-&quot;??_-;_-@_-"/>
    <numFmt numFmtId="190" formatCode="_-[$$-409]* #,##0.0_ ;_-[$$-409]* \-#,##0.0\ ;_-[$$-409]* &quot;-&quot;??_ ;_-@_ "/>
    <numFmt numFmtId="191" formatCode="_-[$$-409]* #,##0_ ;_-[$$-409]* \-#,##0\ ;_-[$$-409]* &quot;-&quot;??_ ;_-@_ "/>
  </numFmts>
  <fonts count="44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b/>
      <sz val="20"/>
      <name val="돋움"/>
      <family val="3"/>
      <charset val="129"/>
    </font>
    <font>
      <sz val="10"/>
      <name val="돋움"/>
      <family val="3"/>
      <charset val="129"/>
    </font>
    <font>
      <sz val="10"/>
      <name val="굴림체"/>
      <family val="3"/>
      <charset val="129"/>
    </font>
    <font>
      <b/>
      <sz val="10"/>
      <color indexed="12"/>
      <name val="굴림체"/>
      <family val="3"/>
      <charset val="129"/>
    </font>
    <font>
      <sz val="8"/>
      <name val="굴림체"/>
      <family val="3"/>
      <charset val="129"/>
    </font>
    <font>
      <b/>
      <sz val="10"/>
      <color indexed="10"/>
      <name val="굴림체"/>
      <family val="3"/>
      <charset val="129"/>
    </font>
    <font>
      <b/>
      <sz val="12"/>
      <name val="돋움"/>
      <family val="3"/>
      <charset val="129"/>
    </font>
    <font>
      <sz val="12"/>
      <name val="돋움"/>
      <family val="3"/>
      <charset val="129"/>
    </font>
    <font>
      <b/>
      <sz val="25"/>
      <name val="돋움"/>
      <family val="3"/>
      <charset val="129"/>
    </font>
    <font>
      <sz val="12"/>
      <name val="굴림체"/>
      <family val="3"/>
      <charset val="129"/>
    </font>
    <font>
      <b/>
      <sz val="48"/>
      <name val="Arial TUR"/>
      <family val="2"/>
      <charset val="162"/>
    </font>
    <font>
      <sz val="48"/>
      <name val="Arial TUR"/>
      <family val="2"/>
      <charset val="162"/>
    </font>
    <font>
      <sz val="12"/>
      <name val="바탕체"/>
      <family val="1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1"/>
      <charset val="129"/>
    </font>
    <font>
      <sz val="12"/>
      <name val="¹ÙÅÁÃ¼"/>
      <family val="1"/>
      <charset val="129"/>
    </font>
    <font>
      <sz val="11"/>
      <name val="µ¸¿ò"/>
      <family val="3"/>
      <charset val="129"/>
    </font>
    <font>
      <sz val="10"/>
      <name val="Arial"/>
      <family val="2"/>
    </font>
    <font>
      <sz val="10"/>
      <name val="Geneva"/>
      <family val="2"/>
    </font>
    <font>
      <sz val="11"/>
      <color indexed="63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0"/>
      <name val="맑은 고딕"/>
      <family val="3"/>
      <charset val="129"/>
      <scheme val="major"/>
    </font>
    <font>
      <sz val="10"/>
      <color rgb="FF000000"/>
      <name val="굴림체"/>
      <family val="3"/>
      <charset val="129"/>
    </font>
    <font>
      <b/>
      <sz val="10"/>
      <color rgb="FF0000FF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8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92">
    <xf numFmtId="0" fontId="0" fillId="0" borderId="0"/>
    <xf numFmtId="0" fontId="16" fillId="0" borderId="0"/>
    <xf numFmtId="0" fontId="16" fillId="0" borderId="0"/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" borderId="1" applyNumberFormat="0" applyAlignment="0" applyProtection="0">
      <alignment vertical="center"/>
    </xf>
    <xf numFmtId="2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9" fillId="14" borderId="0" applyNumberFormat="0" applyBorder="0" applyAlignment="0" applyProtection="0">
      <alignment vertical="center"/>
    </xf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" fillId="4" borderId="2" applyNumberFormat="0" applyFont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20" fillId="0" borderId="0"/>
    <xf numFmtId="0" fontId="31" fillId="0" borderId="0" applyNumberFormat="0" applyFill="0" applyBorder="0" applyAlignment="0" applyProtection="0">
      <alignment vertical="center"/>
    </xf>
    <xf numFmtId="0" fontId="32" fillId="15" borderId="3" applyNumberFormat="0" applyAlignment="0" applyProtection="0">
      <alignment vertical="center"/>
    </xf>
    <xf numFmtId="41" fontId="1" fillId="0" borderId="0" applyFont="0" applyFill="0" applyBorder="0" applyAlignment="0" applyProtection="0"/>
    <xf numFmtId="0" fontId="33" fillId="0" borderId="4" applyNumberFormat="0" applyFill="0" applyAlignment="0" applyProtection="0">
      <alignment vertical="center"/>
    </xf>
    <xf numFmtId="0" fontId="34" fillId="0" borderId="5" applyNumberFormat="0" applyFill="0" applyAlignment="0" applyProtection="0">
      <alignment vertical="center"/>
    </xf>
    <xf numFmtId="0" fontId="35" fillId="3" borderId="1" applyNumberFormat="0" applyAlignment="0" applyProtection="0">
      <alignment vertical="center"/>
    </xf>
    <xf numFmtId="4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0" borderId="8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34" fillId="2" borderId="9" applyNumberFormat="0" applyAlignment="0" applyProtection="0">
      <alignment vertical="center"/>
    </xf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0" fontId="17" fillId="0" borderId="0" applyFon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23" fillId="0" borderId="0"/>
    <xf numFmtId="0" fontId="23" fillId="0" borderId="0"/>
    <xf numFmtId="0" fontId="1" fillId="0" borderId="0"/>
    <xf numFmtId="0" fontId="23" fillId="0" borderId="0"/>
    <xf numFmtId="0" fontId="6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6" fillId="0" borderId="0"/>
    <xf numFmtId="0" fontId="6" fillId="0" borderId="0"/>
    <xf numFmtId="0" fontId="17" fillId="0" borderId="10" applyNumberFormat="0" applyFont="0" applyFill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181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0" fontId="22" fillId="0" borderId="0"/>
    <xf numFmtId="183" fontId="23" fillId="0" borderId="0" applyFont="0" applyFill="0" applyBorder="0" applyAlignment="0" applyProtection="0"/>
    <xf numFmtId="184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86" fontId="23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23" fillId="0" borderId="0"/>
    <xf numFmtId="0" fontId="24" fillId="0" borderId="11" applyNumberFormat="0"/>
    <xf numFmtId="187" fontId="24" fillId="0" borderId="0" applyFont="0" applyFill="0" applyBorder="0" applyAlignment="0" applyProtection="0"/>
  </cellStyleXfs>
  <cellXfs count="272">
    <xf numFmtId="0" fontId="0" fillId="0" borderId="0" xfId="0"/>
    <xf numFmtId="0" fontId="0" fillId="0" borderId="0" xfId="0" applyFill="1"/>
    <xf numFmtId="0" fontId="7" fillId="0" borderId="0" xfId="0" applyFont="1"/>
    <xf numFmtId="177" fontId="0" fillId="0" borderId="0" xfId="0" applyNumberFormat="1" applyFill="1"/>
    <xf numFmtId="0" fontId="9" fillId="0" borderId="0" xfId="0" applyFo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0" borderId="0" xfId="0" applyFill="1" applyBorder="1"/>
    <xf numFmtId="0" fontId="0" fillId="0" borderId="15" xfId="0" applyBorder="1"/>
    <xf numFmtId="0" fontId="0" fillId="18" borderId="12" xfId="0" applyFill="1" applyBorder="1"/>
    <xf numFmtId="0" fontId="0" fillId="18" borderId="14" xfId="0" applyFill="1" applyBorder="1"/>
    <xf numFmtId="0" fontId="0" fillId="0" borderId="0" xfId="0" applyBorder="1"/>
    <xf numFmtId="178" fontId="0" fillId="0" borderId="0" xfId="0" applyNumberFormat="1" applyBorder="1"/>
    <xf numFmtId="0" fontId="6" fillId="0" borderId="0" xfId="74"/>
    <xf numFmtId="0" fontId="11" fillId="0" borderId="0" xfId="74" applyFont="1" applyBorder="1" applyAlignment="1" applyProtection="1">
      <alignment horizontal="center" vertical="center"/>
    </xf>
    <xf numFmtId="0" fontId="6" fillId="0" borderId="0" xfId="74" applyBorder="1"/>
    <xf numFmtId="0" fontId="6" fillId="0" borderId="0" xfId="74" applyFill="1"/>
    <xf numFmtId="0" fontId="1" fillId="0" borderId="11" xfId="74" applyFont="1" applyFill="1" applyBorder="1" applyAlignment="1">
      <alignment horizontal="center" vertical="center" shrinkToFit="1"/>
    </xf>
    <xf numFmtId="0" fontId="6" fillId="0" borderId="0" xfId="74" applyFill="1" applyAlignment="1">
      <alignment shrinkToFit="1"/>
    </xf>
    <xf numFmtId="0" fontId="6" fillId="0" borderId="0" xfId="74" applyAlignment="1">
      <alignment horizontal="center" vertical="center"/>
    </xf>
    <xf numFmtId="0" fontId="6" fillId="0" borderId="11" xfId="74" applyFill="1" applyBorder="1"/>
    <xf numFmtId="0" fontId="1" fillId="19" borderId="11" xfId="74" applyFont="1" applyFill="1" applyBorder="1" applyAlignment="1">
      <alignment horizontal="center" vertical="center"/>
    </xf>
    <xf numFmtId="0" fontId="1" fillId="0" borderId="16" xfId="74" applyFont="1" applyFill="1" applyBorder="1" applyAlignment="1">
      <alignment horizontal="center" vertical="center" shrinkToFit="1"/>
    </xf>
    <xf numFmtId="41" fontId="0" fillId="0" borderId="0" xfId="40" applyFont="1" applyAlignment="1">
      <alignment horizontal="left"/>
    </xf>
    <xf numFmtId="0" fontId="2" fillId="0" borderId="11" xfId="0" applyFont="1" applyBorder="1" applyAlignment="1">
      <alignment vertical="center"/>
    </xf>
    <xf numFmtId="12" fontId="2" fillId="0" borderId="11" xfId="40" applyNumberFormat="1" applyFont="1" applyBorder="1" applyAlignment="1">
      <alignment horizontal="left" vertical="center"/>
    </xf>
    <xf numFmtId="190" fontId="2" fillId="0" borderId="11" xfId="40" applyNumberFormat="1" applyFont="1" applyBorder="1" applyAlignment="1">
      <alignment horizontal="center" vertical="center"/>
    </xf>
    <xf numFmtId="188" fontId="2" fillId="0" borderId="11" xfId="4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41" fillId="0" borderId="11" xfId="0" applyFont="1" applyFill="1" applyBorder="1" applyAlignment="1">
      <alignment horizontal="center" vertical="center"/>
    </xf>
    <xf numFmtId="0" fontId="41" fillId="0" borderId="11" xfId="0" applyFont="1" applyFill="1" applyBorder="1" applyAlignment="1">
      <alignment horizontal="center" vertical="center" shrinkToFit="1"/>
    </xf>
    <xf numFmtId="0" fontId="41" fillId="0" borderId="11" xfId="0" applyFont="1" applyFill="1" applyBorder="1" applyAlignment="1">
      <alignment horizontal="left" vertical="center" shrinkToFit="1"/>
    </xf>
    <xf numFmtId="0" fontId="41" fillId="0" borderId="11" xfId="0" applyFont="1" applyFill="1" applyBorder="1" applyAlignment="1" applyProtection="1">
      <alignment horizontal="center" vertical="center" shrinkToFit="1"/>
    </xf>
    <xf numFmtId="0" fontId="41" fillId="0" borderId="11" xfId="75" applyFont="1" applyFill="1" applyBorder="1" applyAlignment="1">
      <alignment horizontal="center" vertical="center" shrinkToFit="1"/>
    </xf>
    <xf numFmtId="191" fontId="41" fillId="0" borderId="11" xfId="40" applyNumberFormat="1" applyFont="1" applyFill="1" applyBorder="1" applyAlignment="1">
      <alignment horizontal="left" vertical="center" shrinkToFit="1"/>
    </xf>
    <xf numFmtId="41" fontId="41" fillId="0" borderId="11" xfId="40" applyFont="1" applyFill="1" applyBorder="1" applyAlignment="1">
      <alignment horizontal="left" vertical="center" shrinkToFit="1"/>
    </xf>
    <xf numFmtId="0" fontId="41" fillId="0" borderId="11" xfId="0" applyFont="1" applyFill="1" applyBorder="1" applyAlignment="1">
      <alignment horizontal="center"/>
    </xf>
    <xf numFmtId="0" fontId="41" fillId="0" borderId="0" xfId="0" applyFont="1"/>
    <xf numFmtId="0" fontId="41" fillId="0" borderId="11" xfId="40" applyNumberFormat="1" applyFont="1" applyBorder="1" applyAlignment="1">
      <alignment horizontal="center" vertical="center"/>
    </xf>
    <xf numFmtId="0" fontId="41" fillId="0" borderId="11" xfId="73" applyFont="1" applyFill="1" applyBorder="1" applyAlignment="1">
      <alignment horizontal="left" vertical="center"/>
    </xf>
    <xf numFmtId="0" fontId="41" fillId="0" borderId="11" xfId="0" applyFont="1" applyFill="1" applyBorder="1" applyAlignment="1" applyProtection="1">
      <alignment horizontal="center" vertical="center"/>
      <protection locked="0"/>
    </xf>
    <xf numFmtId="176" fontId="41" fillId="0" borderId="11" xfId="0" applyNumberFormat="1" applyFont="1" applyFill="1" applyBorder="1" applyAlignment="1" applyProtection="1">
      <alignment horizontal="left" vertical="center"/>
      <protection locked="0"/>
    </xf>
    <xf numFmtId="0" fontId="41" fillId="0" borderId="11" xfId="0" applyFont="1" applyFill="1" applyBorder="1" applyAlignment="1" applyProtection="1">
      <alignment horizontal="center" vertical="center"/>
    </xf>
    <xf numFmtId="0" fontId="41" fillId="0" borderId="11" xfId="0" applyFont="1" applyFill="1" applyBorder="1" applyAlignment="1" applyProtection="1">
      <alignment horizontal="left" vertical="center"/>
    </xf>
    <xf numFmtId="0" fontId="41" fillId="0" borderId="11" xfId="73" applyFont="1" applyFill="1" applyBorder="1" applyAlignment="1">
      <alignment horizontal="center" vertical="center"/>
    </xf>
    <xf numFmtId="189" fontId="41" fillId="0" borderId="11" xfId="40" applyNumberFormat="1" applyFont="1" applyFill="1" applyBorder="1" applyAlignment="1">
      <alignment horizontal="left" vertical="center"/>
    </xf>
    <xf numFmtId="41" fontId="41" fillId="0" borderId="11" xfId="40" applyFont="1" applyFill="1" applyBorder="1" applyAlignment="1">
      <alignment horizontal="left" vertical="center"/>
    </xf>
    <xf numFmtId="0" fontId="41" fillId="0" borderId="11" xfId="70" applyFont="1" applyFill="1" applyBorder="1" applyAlignment="1">
      <alignment horizontal="center" vertical="center" shrinkToFit="1"/>
    </xf>
    <xf numFmtId="0" fontId="41" fillId="0" borderId="11" xfId="70" applyFont="1" applyFill="1" applyBorder="1" applyAlignment="1">
      <alignment horizontal="left" vertical="center" shrinkToFit="1"/>
    </xf>
    <xf numFmtId="0" fontId="41" fillId="0" borderId="11" xfId="70" applyFont="1" applyFill="1" applyBorder="1" applyAlignment="1" applyProtection="1">
      <alignment horizontal="center" vertical="center" shrinkToFit="1"/>
    </xf>
    <xf numFmtId="189" fontId="41" fillId="0" borderId="11" xfId="40" applyNumberFormat="1" applyFont="1" applyFill="1" applyBorder="1" applyAlignment="1">
      <alignment horizontal="left" vertical="center" shrinkToFit="1"/>
    </xf>
    <xf numFmtId="0" fontId="41" fillId="0" borderId="11" xfId="63" applyFont="1" applyFill="1" applyBorder="1" applyAlignment="1">
      <alignment horizontal="center" vertical="center" shrinkToFit="1"/>
    </xf>
    <xf numFmtId="0" fontId="41" fillId="0" borderId="11" xfId="63" applyFont="1" applyFill="1" applyBorder="1" applyAlignment="1">
      <alignment horizontal="center" vertical="center"/>
    </xf>
    <xf numFmtId="0" fontId="41" fillId="0" borderId="11" xfId="63" applyFont="1" applyFill="1" applyBorder="1" applyAlignment="1">
      <alignment horizontal="left" vertical="center"/>
    </xf>
    <xf numFmtId="0" fontId="41" fillId="0" borderId="11" xfId="63" applyFont="1" applyFill="1" applyBorder="1" applyAlignment="1" applyProtection="1">
      <alignment horizontal="center" vertical="center"/>
      <protection locked="0"/>
    </xf>
    <xf numFmtId="0" fontId="41" fillId="0" borderId="11" xfId="60" applyFont="1" applyFill="1" applyBorder="1" applyAlignment="1">
      <alignment horizontal="center" vertical="center" shrinkToFit="1"/>
    </xf>
    <xf numFmtId="0" fontId="41" fillId="0" borderId="11" xfId="60" applyFont="1" applyFill="1" applyBorder="1" applyAlignment="1" applyProtection="1">
      <alignment horizontal="center" vertical="center" shrinkToFit="1"/>
    </xf>
    <xf numFmtId="0" fontId="41" fillId="0" borderId="11" xfId="73" applyFont="1" applyFill="1" applyBorder="1" applyAlignment="1">
      <alignment horizontal="center" vertical="center" shrinkToFit="1"/>
    </xf>
    <xf numFmtId="0" fontId="41" fillId="0" borderId="11" xfId="66" applyFont="1" applyFill="1" applyBorder="1" applyAlignment="1">
      <alignment horizontal="center" vertical="center"/>
    </xf>
    <xf numFmtId="0" fontId="41" fillId="0" borderId="11" xfId="63" applyFont="1" applyFill="1" applyBorder="1" applyAlignment="1" applyProtection="1">
      <alignment horizontal="center" vertical="center"/>
    </xf>
    <xf numFmtId="0" fontId="41" fillId="0" borderId="11" xfId="67" applyFont="1" applyFill="1" applyBorder="1" applyAlignment="1" applyProtection="1">
      <alignment horizontal="left" vertical="center"/>
    </xf>
    <xf numFmtId="0" fontId="41" fillId="0" borderId="11" xfId="67" applyFont="1" applyFill="1" applyBorder="1" applyAlignment="1" applyProtection="1">
      <alignment horizontal="center" vertical="center"/>
    </xf>
    <xf numFmtId="0" fontId="41" fillId="0" borderId="11" xfId="67" applyFont="1" applyFill="1" applyBorder="1" applyAlignment="1">
      <alignment horizontal="center" vertical="center"/>
    </xf>
    <xf numFmtId="0" fontId="41" fillId="0" borderId="11" xfId="69" applyFont="1" applyFill="1" applyBorder="1" applyAlignment="1">
      <alignment horizontal="center" vertical="center"/>
    </xf>
    <xf numFmtId="0" fontId="41" fillId="0" borderId="11" xfId="69" applyFont="1" applyFill="1" applyBorder="1" applyAlignment="1" applyProtection="1">
      <alignment horizontal="center" vertical="center"/>
    </xf>
    <xf numFmtId="0" fontId="41" fillId="0" borderId="11" xfId="69" applyFont="1" applyFill="1" applyBorder="1" applyAlignment="1">
      <alignment horizontal="left" vertical="center"/>
    </xf>
    <xf numFmtId="0" fontId="41" fillId="0" borderId="11" xfId="69" applyFont="1" applyFill="1" applyBorder="1" applyAlignment="1">
      <alignment horizontal="center" vertical="center" shrinkToFit="1"/>
    </xf>
    <xf numFmtId="0" fontId="41" fillId="0" borderId="11" xfId="60" applyFont="1" applyFill="1" applyBorder="1" applyAlignment="1" applyProtection="1">
      <alignment horizontal="center" vertical="center"/>
      <protection locked="0"/>
    </xf>
    <xf numFmtId="0" fontId="41" fillId="0" borderId="11" xfId="0" applyFont="1" applyFill="1" applyBorder="1" applyAlignment="1" applyProtection="1">
      <alignment horizontal="left" vertical="center" shrinkToFit="1"/>
    </xf>
    <xf numFmtId="0" fontId="41" fillId="0" borderId="11" xfId="66" applyFont="1" applyFill="1" applyBorder="1" applyAlignment="1" applyProtection="1">
      <alignment horizontal="center" vertical="center"/>
    </xf>
    <xf numFmtId="0" fontId="41" fillId="0" borderId="11" xfId="66" applyFont="1" applyFill="1" applyBorder="1" applyAlignment="1">
      <alignment horizontal="left" vertical="center"/>
    </xf>
    <xf numFmtId="0" fontId="41" fillId="0" borderId="11" xfId="60" applyFont="1" applyFill="1" applyBorder="1" applyAlignment="1">
      <alignment horizontal="center" vertical="center"/>
    </xf>
    <xf numFmtId="0" fontId="41" fillId="0" borderId="11" xfId="59" applyFont="1" applyFill="1" applyBorder="1" applyAlignment="1">
      <alignment horizontal="center" vertical="center" shrinkToFit="1"/>
    </xf>
    <xf numFmtId="0" fontId="41" fillId="0" borderId="11" xfId="0" applyFont="1" applyFill="1" applyBorder="1" applyAlignment="1">
      <alignment horizontal="left" vertical="center"/>
    </xf>
    <xf numFmtId="0" fontId="41" fillId="0" borderId="11" xfId="71" applyFont="1" applyFill="1" applyBorder="1" applyAlignment="1">
      <alignment horizontal="left" vertical="center"/>
    </xf>
    <xf numFmtId="0" fontId="41" fillId="0" borderId="11" xfId="58" applyFont="1" applyFill="1" applyBorder="1" applyAlignment="1" applyProtection="1">
      <alignment horizontal="center" vertical="center" shrinkToFit="1"/>
    </xf>
    <xf numFmtId="0" fontId="41" fillId="0" borderId="11" xfId="58" applyFont="1" applyFill="1" applyBorder="1" applyAlignment="1">
      <alignment horizontal="center" vertical="center"/>
    </xf>
    <xf numFmtId="0" fontId="41" fillId="0" borderId="11" xfId="65" applyFont="1" applyFill="1" applyBorder="1" applyAlignment="1">
      <alignment horizontal="left" vertical="center"/>
    </xf>
    <xf numFmtId="0" fontId="41" fillId="0" borderId="11" xfId="65" applyFont="1" applyFill="1" applyBorder="1" applyAlignment="1">
      <alignment horizontal="center" vertical="center"/>
    </xf>
    <xf numFmtId="0" fontId="41" fillId="0" borderId="11" xfId="70" applyFont="1" applyFill="1" applyBorder="1" applyAlignment="1">
      <alignment horizontal="left" vertical="center"/>
    </xf>
    <xf numFmtId="0" fontId="41" fillId="0" borderId="11" xfId="70" applyFont="1" applyFill="1" applyBorder="1" applyAlignment="1" applyProtection="1">
      <alignment horizontal="center" vertical="center" shrinkToFit="1"/>
      <protection locked="0"/>
    </xf>
    <xf numFmtId="0" fontId="41" fillId="0" borderId="11" xfId="70" applyFont="1" applyFill="1" applyBorder="1" applyAlignment="1">
      <alignment horizontal="center" vertical="center"/>
    </xf>
    <xf numFmtId="0" fontId="41" fillId="0" borderId="11" xfId="68" applyFont="1" applyFill="1" applyBorder="1" applyAlignment="1">
      <alignment horizontal="center" vertical="center"/>
    </xf>
    <xf numFmtId="0" fontId="41" fillId="0" borderId="11" xfId="60" applyFont="1" applyFill="1" applyBorder="1" applyAlignment="1" applyProtection="1">
      <alignment horizontal="center" vertical="center"/>
    </xf>
    <xf numFmtId="0" fontId="41" fillId="0" borderId="11" xfId="60" applyFont="1" applyFill="1" applyBorder="1" applyAlignment="1" applyProtection="1">
      <alignment horizontal="left" vertical="center"/>
    </xf>
    <xf numFmtId="0" fontId="41" fillId="0" borderId="11" xfId="0" applyFont="1" applyFill="1" applyBorder="1" applyAlignment="1" applyProtection="1">
      <alignment horizontal="center" vertical="center" shrinkToFit="1"/>
      <protection locked="0"/>
    </xf>
    <xf numFmtId="176" fontId="41" fillId="0" borderId="11" xfId="60" applyNumberFormat="1" applyFont="1" applyFill="1" applyBorder="1" applyAlignment="1" applyProtection="1">
      <alignment horizontal="left" vertical="center"/>
      <protection locked="0"/>
    </xf>
    <xf numFmtId="0" fontId="41" fillId="0" borderId="11" xfId="62" applyFont="1" applyFill="1" applyBorder="1" applyAlignment="1" applyProtection="1">
      <alignment horizontal="center" vertical="center"/>
      <protection locked="0"/>
    </xf>
    <xf numFmtId="0" fontId="41" fillId="0" borderId="11" xfId="62" applyFont="1" applyFill="1" applyBorder="1" applyAlignment="1" applyProtection="1">
      <alignment horizontal="left" vertical="center"/>
      <protection locked="0"/>
    </xf>
    <xf numFmtId="0" fontId="41" fillId="0" borderId="11" xfId="0" applyFont="1" applyBorder="1" applyAlignment="1">
      <alignment horizontal="center"/>
    </xf>
    <xf numFmtId="0" fontId="41" fillId="0" borderId="11" xfId="74" applyFont="1" applyFill="1" applyBorder="1" applyAlignment="1">
      <alignment horizontal="center"/>
    </xf>
    <xf numFmtId="0" fontId="41" fillId="0" borderId="11" xfId="74" applyFont="1" applyFill="1" applyBorder="1" applyAlignment="1">
      <alignment horizontal="center" vertical="center"/>
    </xf>
    <xf numFmtId="0" fontId="41" fillId="0" borderId="11" xfId="60" applyFont="1" applyFill="1" applyBorder="1" applyAlignment="1">
      <alignment horizontal="left" vertical="center"/>
    </xf>
    <xf numFmtId="0" fontId="41" fillId="0" borderId="11" xfId="56" applyFont="1" applyFill="1" applyBorder="1" applyAlignment="1">
      <alignment horizontal="center" vertical="center" shrinkToFit="1"/>
    </xf>
    <xf numFmtId="0" fontId="41" fillId="0" borderId="11" xfId="71" applyFont="1" applyFill="1" applyBorder="1" applyAlignment="1">
      <alignment horizontal="center" vertical="center"/>
    </xf>
    <xf numFmtId="0" fontId="41" fillId="0" borderId="11" xfId="60" applyFont="1" applyFill="1" applyBorder="1" applyAlignment="1" applyProtection="1">
      <alignment horizontal="left" vertical="center" shrinkToFit="1"/>
    </xf>
    <xf numFmtId="0" fontId="41" fillId="0" borderId="11" xfId="61" applyFont="1" applyFill="1" applyBorder="1" applyAlignment="1">
      <alignment horizontal="center" vertical="center"/>
    </xf>
    <xf numFmtId="0" fontId="41" fillId="0" borderId="11" xfId="63" applyFont="1" applyFill="1" applyBorder="1" applyAlignment="1">
      <alignment horizontal="left" vertical="center" shrinkToFit="1"/>
    </xf>
    <xf numFmtId="0" fontId="41" fillId="0" borderId="11" xfId="63" applyFont="1" applyFill="1" applyBorder="1" applyAlignment="1" applyProtection="1">
      <alignment horizontal="center" vertical="center" shrinkToFit="1"/>
      <protection locked="0"/>
    </xf>
    <xf numFmtId="0" fontId="41" fillId="0" borderId="11" xfId="64" applyFont="1" applyFill="1" applyBorder="1" applyAlignment="1">
      <alignment horizontal="center" vertical="center" shrinkToFit="1"/>
    </xf>
    <xf numFmtId="0" fontId="41" fillId="0" borderId="11" xfId="64" applyFont="1" applyFill="1" applyBorder="1" applyAlignment="1">
      <alignment horizontal="left" vertical="center" shrinkToFit="1"/>
    </xf>
    <xf numFmtId="0" fontId="41" fillId="0" borderId="11" xfId="64" applyFont="1" applyFill="1" applyBorder="1" applyAlignment="1">
      <alignment horizontal="center" vertical="center"/>
    </xf>
    <xf numFmtId="0" fontId="41" fillId="0" borderId="0" xfId="0" applyFont="1" applyAlignment="1">
      <alignment horizontal="left"/>
    </xf>
    <xf numFmtId="41" fontId="41" fillId="26" borderId="11" xfId="40" applyFont="1" applyFill="1" applyBorder="1" applyAlignment="1">
      <alignment horizontal="left"/>
    </xf>
    <xf numFmtId="0" fontId="41" fillId="26" borderId="11" xfId="0" applyFont="1" applyFill="1" applyBorder="1"/>
    <xf numFmtId="41" fontId="41" fillId="0" borderId="0" xfId="40" applyFont="1" applyAlignment="1">
      <alignment horizontal="left"/>
    </xf>
    <xf numFmtId="0" fontId="41" fillId="0" borderId="11" xfId="60" applyFont="1" applyFill="1" applyBorder="1" applyAlignment="1">
      <alignment horizontal="left" vertical="center" shrinkToFit="1"/>
    </xf>
    <xf numFmtId="0" fontId="41" fillId="0" borderId="11" xfId="68" applyFont="1" applyFill="1" applyBorder="1" applyAlignment="1">
      <alignment horizontal="left" vertical="center"/>
    </xf>
    <xf numFmtId="0" fontId="41" fillId="0" borderId="11" xfId="0" applyFont="1" applyFill="1" applyBorder="1" applyAlignment="1" applyProtection="1">
      <alignment horizontal="left" vertical="center" shrinkToFit="1"/>
      <protection locked="0"/>
    </xf>
    <xf numFmtId="0" fontId="10" fillId="20" borderId="11" xfId="0" applyFont="1" applyFill="1" applyBorder="1" applyAlignment="1" applyProtection="1">
      <alignment horizontal="center" vertical="center" shrinkToFit="1"/>
    </xf>
    <xf numFmtId="0" fontId="10" fillId="20" borderId="11" xfId="0" applyFont="1" applyFill="1" applyBorder="1" applyAlignment="1" applyProtection="1">
      <alignment horizontal="center" vertical="center" wrapText="1"/>
    </xf>
    <xf numFmtId="0" fontId="10" fillId="20" borderId="11" xfId="0" applyFont="1" applyFill="1" applyBorder="1" applyAlignment="1" applyProtection="1">
      <alignment horizontal="center" vertical="center"/>
    </xf>
    <xf numFmtId="0" fontId="10" fillId="0" borderId="11" xfId="0" applyFont="1" applyBorder="1" applyAlignment="1" applyProtection="1">
      <alignment horizontal="center" vertical="center"/>
    </xf>
    <xf numFmtId="0" fontId="10" fillId="20" borderId="17" xfId="0" applyFont="1" applyFill="1" applyBorder="1" applyAlignment="1" applyProtection="1">
      <alignment horizontal="center" vertical="center" shrinkToFit="1"/>
    </xf>
    <xf numFmtId="0" fontId="10" fillId="20" borderId="18" xfId="0" applyFont="1" applyFill="1" applyBorder="1" applyAlignment="1" applyProtection="1">
      <alignment horizontal="center" vertical="center"/>
    </xf>
    <xf numFmtId="0" fontId="10" fillId="0" borderId="18" xfId="0" applyFont="1" applyFill="1" applyBorder="1" applyAlignment="1" applyProtection="1">
      <alignment horizontal="center" vertical="center"/>
    </xf>
    <xf numFmtId="0" fontId="10" fillId="0" borderId="18" xfId="0" applyFont="1" applyBorder="1" applyAlignment="1" applyProtection="1">
      <alignment horizontal="center" vertical="center"/>
    </xf>
    <xf numFmtId="0" fontId="10" fillId="0" borderId="18" xfId="0" applyFont="1" applyBorder="1" applyAlignment="1" applyProtection="1">
      <alignment horizontal="center" vertical="center" shrinkToFit="1"/>
    </xf>
    <xf numFmtId="0" fontId="3" fillId="20" borderId="19" xfId="0" applyFont="1" applyFill="1" applyBorder="1" applyAlignment="1">
      <alignment horizontal="center" vertical="center"/>
    </xf>
    <xf numFmtId="0" fontId="3" fillId="20" borderId="20" xfId="0" applyFont="1" applyFill="1" applyBorder="1" applyAlignment="1">
      <alignment horizontal="center" vertical="center"/>
    </xf>
    <xf numFmtId="0" fontId="3" fillId="20" borderId="21" xfId="0" applyFont="1" applyFill="1" applyBorder="1" applyAlignment="1">
      <alignment horizontal="center" vertical="center"/>
    </xf>
    <xf numFmtId="0" fontId="3" fillId="20" borderId="22" xfId="74" applyFont="1" applyFill="1" applyBorder="1" applyAlignment="1">
      <alignment horizontal="center" vertical="center"/>
    </xf>
    <xf numFmtId="0" fontId="41" fillId="0" borderId="16" xfId="0" applyFont="1" applyFill="1" applyBorder="1" applyAlignment="1">
      <alignment horizontal="left" vertical="center" shrinkToFit="1"/>
    </xf>
    <xf numFmtId="0" fontId="6" fillId="0" borderId="11" xfId="74" applyBorder="1"/>
    <xf numFmtId="0" fontId="1" fillId="27" borderId="11" xfId="60" applyFont="1" applyFill="1" applyBorder="1" applyAlignment="1">
      <alignment horizontal="center" vertical="center" shrinkToFit="1"/>
    </xf>
    <xf numFmtId="0" fontId="41" fillId="27" borderId="11" xfId="0" applyFont="1" applyFill="1" applyBorder="1" applyAlignment="1">
      <alignment horizontal="left" vertical="center" shrinkToFit="1"/>
    </xf>
    <xf numFmtId="0" fontId="41" fillId="27" borderId="11" xfId="75" applyFont="1" applyFill="1" applyBorder="1" applyAlignment="1">
      <alignment horizontal="center" vertical="center" shrinkToFit="1"/>
    </xf>
    <xf numFmtId="0" fontId="41" fillId="27" borderId="11" xfId="0" applyFont="1" applyFill="1" applyBorder="1" applyAlignment="1">
      <alignment horizontal="center" vertical="center" shrinkToFit="1"/>
    </xf>
    <xf numFmtId="0" fontId="1" fillId="27" borderId="11" xfId="74" applyFont="1" applyFill="1" applyBorder="1" applyAlignment="1">
      <alignment horizontal="center" vertical="center" shrinkToFit="1"/>
    </xf>
    <xf numFmtId="0" fontId="41" fillId="27" borderId="11" xfId="73" applyFont="1" applyFill="1" applyBorder="1" applyAlignment="1">
      <alignment horizontal="left" vertical="center"/>
    </xf>
    <xf numFmtId="0" fontId="41" fillId="27" borderId="11" xfId="0" applyFont="1" applyFill="1" applyBorder="1" applyAlignment="1" applyProtection="1">
      <alignment horizontal="center" vertical="center"/>
      <protection locked="0"/>
    </xf>
    <xf numFmtId="176" fontId="41" fillId="27" borderId="11" xfId="0" applyNumberFormat="1" applyFont="1" applyFill="1" applyBorder="1" applyAlignment="1" applyProtection="1">
      <alignment horizontal="left" vertical="center"/>
      <protection locked="0"/>
    </xf>
    <xf numFmtId="0" fontId="1" fillId="27" borderId="11" xfId="58" applyFont="1" applyFill="1" applyBorder="1" applyAlignment="1" applyProtection="1">
      <alignment horizontal="center" vertical="center" shrinkToFit="1"/>
    </xf>
    <xf numFmtId="0" fontId="1" fillId="27" borderId="11" xfId="60" applyFont="1" applyFill="1" applyBorder="1" applyAlignment="1" applyProtection="1">
      <alignment horizontal="center" vertical="center" shrinkToFit="1"/>
    </xf>
    <xf numFmtId="0" fontId="41" fillId="27" borderId="11" xfId="0" applyFont="1" applyFill="1" applyBorder="1" applyAlignment="1" applyProtection="1">
      <alignment horizontal="left" vertical="center"/>
    </xf>
    <xf numFmtId="0" fontId="41" fillId="27" borderId="11" xfId="73" applyFont="1" applyFill="1" applyBorder="1" applyAlignment="1">
      <alignment horizontal="center" vertical="center"/>
    </xf>
    <xf numFmtId="0" fontId="41" fillId="27" borderId="11" xfId="0" applyFont="1" applyFill="1" applyBorder="1" applyAlignment="1">
      <alignment horizontal="center" vertical="center"/>
    </xf>
    <xf numFmtId="0" fontId="41" fillId="27" borderId="11" xfId="70" applyFont="1" applyFill="1" applyBorder="1" applyAlignment="1">
      <alignment horizontal="left" vertical="center" shrinkToFit="1"/>
    </xf>
    <xf numFmtId="0" fontId="41" fillId="27" borderId="11" xfId="70" applyFont="1" applyFill="1" applyBorder="1" applyAlignment="1">
      <alignment horizontal="center" vertical="center" shrinkToFit="1"/>
    </xf>
    <xf numFmtId="0" fontId="41" fillId="27" borderId="11" xfId="63" applyFont="1" applyFill="1" applyBorder="1" applyAlignment="1">
      <alignment horizontal="left" vertical="center"/>
    </xf>
    <xf numFmtId="0" fontId="41" fillId="27" borderId="11" xfId="63" applyFont="1" applyFill="1" applyBorder="1" applyAlignment="1" applyProtection="1">
      <alignment horizontal="center" vertical="center"/>
      <protection locked="0"/>
    </xf>
    <xf numFmtId="0" fontId="41" fillId="27" borderId="11" xfId="63" applyFont="1" applyFill="1" applyBorder="1" applyAlignment="1">
      <alignment horizontal="center" vertical="center"/>
    </xf>
    <xf numFmtId="0" fontId="5" fillId="27" borderId="11" xfId="60" applyFont="1" applyFill="1" applyBorder="1" applyAlignment="1" applyProtection="1">
      <alignment vertical="center"/>
    </xf>
    <xf numFmtId="0" fontId="5" fillId="27" borderId="11" xfId="60" applyFont="1" applyFill="1" applyBorder="1" applyAlignment="1">
      <alignment horizontal="center" vertical="center"/>
    </xf>
    <xf numFmtId="0" fontId="5" fillId="27" borderId="11" xfId="73" applyFont="1" applyFill="1" applyBorder="1" applyAlignment="1">
      <alignment horizontal="center" vertical="center"/>
    </xf>
    <xf numFmtId="0" fontId="5" fillId="27" borderId="11" xfId="60" applyFont="1" applyFill="1" applyBorder="1" applyAlignment="1" applyProtection="1">
      <alignment vertical="center" shrinkToFit="1"/>
    </xf>
    <xf numFmtId="0" fontId="5" fillId="27" borderId="11" xfId="60" applyFont="1" applyFill="1" applyBorder="1" applyAlignment="1" applyProtection="1">
      <alignment horizontal="center" vertical="center"/>
      <protection locked="0"/>
    </xf>
    <xf numFmtId="0" fontId="41" fillId="27" borderId="11" xfId="60" applyFont="1" applyFill="1" applyBorder="1" applyAlignment="1">
      <alignment horizontal="center" vertical="center" shrinkToFit="1"/>
    </xf>
    <xf numFmtId="0" fontId="5" fillId="27" borderId="11" xfId="71" applyFont="1" applyFill="1" applyBorder="1" applyAlignment="1">
      <alignment horizontal="left" vertical="center"/>
    </xf>
    <xf numFmtId="0" fontId="5" fillId="27" borderId="11" xfId="73" applyFont="1" applyFill="1" applyBorder="1" applyAlignment="1">
      <alignment horizontal="left" vertical="center"/>
    </xf>
    <xf numFmtId="0" fontId="1" fillId="27" borderId="11" xfId="60" applyFont="1" applyFill="1" applyBorder="1" applyAlignment="1">
      <alignment vertical="center"/>
    </xf>
    <xf numFmtId="0" fontId="41" fillId="27" borderId="11" xfId="73" applyFont="1" applyFill="1" applyBorder="1" applyAlignment="1">
      <alignment horizontal="center" vertical="center" shrinkToFit="1"/>
    </xf>
    <xf numFmtId="0" fontId="1" fillId="27" borderId="11" xfId="60" applyFont="1" applyFill="1" applyBorder="1" applyAlignment="1" applyProtection="1">
      <alignment vertical="center" shrinkToFit="1"/>
    </xf>
    <xf numFmtId="0" fontId="1" fillId="27" borderId="11" xfId="60" applyFont="1" applyFill="1" applyBorder="1" applyAlignment="1">
      <alignment vertical="center" shrinkToFit="1"/>
    </xf>
    <xf numFmtId="0" fontId="41" fillId="27" borderId="11" xfId="67" applyFont="1" applyFill="1" applyBorder="1" applyAlignment="1" applyProtection="1">
      <alignment horizontal="left" vertical="center"/>
    </xf>
    <xf numFmtId="0" fontId="41" fillId="27" borderId="11" xfId="67" applyFont="1" applyFill="1" applyBorder="1" applyAlignment="1">
      <alignment horizontal="center" vertical="center"/>
    </xf>
    <xf numFmtId="0" fontId="41" fillId="27" borderId="11" xfId="69" applyFont="1" applyFill="1" applyBorder="1" applyAlignment="1">
      <alignment horizontal="left" vertical="center"/>
    </xf>
    <xf numFmtId="0" fontId="41" fillId="27" borderId="11" xfId="69" applyFont="1" applyFill="1" applyBorder="1" applyAlignment="1">
      <alignment horizontal="center" vertical="center" shrinkToFit="1"/>
    </xf>
    <xf numFmtId="0" fontId="41" fillId="27" borderId="11" xfId="69" applyFont="1" applyFill="1" applyBorder="1" applyAlignment="1">
      <alignment horizontal="center" vertical="center"/>
    </xf>
    <xf numFmtId="0" fontId="6" fillId="27" borderId="11" xfId="74" applyFill="1" applyBorder="1"/>
    <xf numFmtId="0" fontId="41" fillId="27" borderId="11" xfId="60" applyFont="1" applyFill="1" applyBorder="1" applyAlignment="1" applyProtection="1">
      <alignment horizontal="center" vertical="center"/>
      <protection locked="0"/>
    </xf>
    <xf numFmtId="0" fontId="41" fillId="27" borderId="11" xfId="0" applyFont="1" applyFill="1" applyBorder="1" applyAlignment="1" applyProtection="1">
      <alignment horizontal="left" vertical="center" shrinkToFit="1"/>
    </xf>
    <xf numFmtId="0" fontId="41" fillId="27" borderId="11" xfId="66" applyFont="1" applyFill="1" applyBorder="1" applyAlignment="1">
      <alignment horizontal="left" vertical="center"/>
    </xf>
    <xf numFmtId="0" fontId="41" fillId="27" borderId="11" xfId="66" applyFont="1" applyFill="1" applyBorder="1" applyAlignment="1">
      <alignment horizontal="center" vertical="center"/>
    </xf>
    <xf numFmtId="0" fontId="5" fillId="27" borderId="11" xfId="60" applyFont="1" applyFill="1" applyBorder="1" applyAlignment="1" applyProtection="1">
      <alignment vertical="center"/>
      <protection locked="0"/>
    </xf>
    <xf numFmtId="0" fontId="5" fillId="27" borderId="11" xfId="60" applyFont="1" applyFill="1" applyBorder="1" applyAlignment="1" applyProtection="1">
      <alignment horizontal="left" vertical="center"/>
      <protection locked="0"/>
    </xf>
    <xf numFmtId="0" fontId="1" fillId="27" borderId="11" xfId="0" applyFont="1" applyFill="1" applyBorder="1" applyAlignment="1" applyProtection="1">
      <alignment vertical="center" shrinkToFit="1"/>
    </xf>
    <xf numFmtId="0" fontId="1" fillId="27" borderId="11" xfId="0" applyFont="1" applyFill="1" applyBorder="1" applyAlignment="1" applyProtection="1">
      <alignment horizontal="center" vertical="center" shrinkToFit="1"/>
      <protection locked="0"/>
    </xf>
    <xf numFmtId="0" fontId="1" fillId="27" borderId="11" xfId="0" applyFont="1" applyFill="1" applyBorder="1" applyAlignment="1">
      <alignment horizontal="center" vertical="center" shrinkToFit="1"/>
    </xf>
    <xf numFmtId="0" fontId="41" fillId="27" borderId="11" xfId="60" applyFont="1" applyFill="1" applyBorder="1" applyAlignment="1">
      <alignment horizontal="center" vertical="center"/>
    </xf>
    <xf numFmtId="0" fontId="5" fillId="27" borderId="11" xfId="60" applyFont="1" applyFill="1" applyBorder="1" applyAlignment="1" applyProtection="1">
      <alignment horizontal="center" vertical="center"/>
    </xf>
    <xf numFmtId="0" fontId="1" fillId="27" borderId="11" xfId="57" applyFont="1" applyFill="1" applyBorder="1" applyAlignment="1">
      <alignment horizontal="center" vertical="center" shrinkToFit="1"/>
    </xf>
    <xf numFmtId="0" fontId="5" fillId="27" borderId="11" xfId="0" applyFont="1" applyFill="1" applyBorder="1" applyAlignment="1" applyProtection="1">
      <alignment horizontal="center" vertical="center" shrinkToFit="1"/>
      <protection locked="0"/>
    </xf>
    <xf numFmtId="0" fontId="5" fillId="27" borderId="11" xfId="0" applyFont="1" applyFill="1" applyBorder="1" applyAlignment="1">
      <alignment horizontal="center" vertical="center"/>
    </xf>
    <xf numFmtId="0" fontId="5" fillId="27" borderId="11" xfId="60" applyFont="1" applyFill="1" applyBorder="1" applyAlignment="1">
      <alignment horizontal="left" vertical="center"/>
    </xf>
    <xf numFmtId="0" fontId="5" fillId="27" borderId="11" xfId="62" applyFont="1" applyFill="1" applyBorder="1" applyAlignment="1" applyProtection="1">
      <alignment horizontal="left" vertical="center"/>
      <protection locked="0"/>
    </xf>
    <xf numFmtId="0" fontId="5" fillId="27" borderId="11" xfId="0" applyFont="1" applyFill="1" applyBorder="1" applyAlignment="1" applyProtection="1">
      <alignment horizontal="center" vertical="center"/>
      <protection locked="0"/>
    </xf>
    <xf numFmtId="0" fontId="5" fillId="27" borderId="11" xfId="0" applyFont="1" applyFill="1" applyBorder="1" applyAlignment="1" applyProtection="1">
      <alignment horizontal="left" vertical="center"/>
      <protection locked="0"/>
    </xf>
    <xf numFmtId="0" fontId="41" fillId="27" borderId="11" xfId="59" applyFont="1" applyFill="1" applyBorder="1" applyAlignment="1">
      <alignment horizontal="center" vertical="center" shrinkToFit="1"/>
    </xf>
    <xf numFmtId="0" fontId="5" fillId="27" borderId="11" xfId="0" applyFont="1" applyFill="1" applyBorder="1" applyAlignment="1">
      <alignment horizontal="left" vertical="center"/>
    </xf>
    <xf numFmtId="0" fontId="5" fillId="27" borderId="11" xfId="0" applyFont="1" applyFill="1" applyBorder="1" applyAlignment="1">
      <alignment horizontal="left" vertical="center" wrapText="1"/>
    </xf>
    <xf numFmtId="0" fontId="5" fillId="27" borderId="11" xfId="0" applyFont="1" applyFill="1" applyBorder="1" applyAlignment="1">
      <alignment vertical="center"/>
    </xf>
    <xf numFmtId="0" fontId="5" fillId="27" borderId="11" xfId="72" applyFont="1" applyFill="1" applyBorder="1" applyAlignment="1" applyProtection="1">
      <alignment horizontal="left" vertical="center"/>
    </xf>
    <xf numFmtId="0" fontId="0" fillId="27" borderId="11" xfId="0" applyFill="1" applyBorder="1" applyAlignment="1" applyProtection="1">
      <alignment horizontal="left" vertical="center"/>
      <protection locked="0"/>
    </xf>
    <xf numFmtId="0" fontId="5" fillId="27" borderId="11" xfId="0" applyFont="1" applyFill="1" applyBorder="1" applyAlignment="1" applyProtection="1">
      <alignment vertical="center"/>
    </xf>
    <xf numFmtId="0" fontId="5" fillId="27" borderId="16" xfId="0" applyFont="1" applyFill="1" applyBorder="1" applyAlignment="1" applyProtection="1">
      <alignment vertical="center"/>
    </xf>
    <xf numFmtId="176" fontId="41" fillId="27" borderId="16" xfId="0" applyNumberFormat="1" applyFont="1" applyFill="1" applyBorder="1" applyAlignment="1" applyProtection="1">
      <alignment horizontal="left" vertical="center"/>
      <protection locked="0"/>
    </xf>
    <xf numFmtId="0" fontId="0" fillId="27" borderId="16" xfId="0" applyFill="1" applyBorder="1" applyAlignment="1">
      <alignment horizontal="center" vertical="center"/>
    </xf>
    <xf numFmtId="0" fontId="41" fillId="27" borderId="16" xfId="0" applyFont="1" applyFill="1" applyBorder="1" applyAlignment="1">
      <alignment horizontal="center" vertical="center" shrinkToFit="1"/>
    </xf>
    <xf numFmtId="0" fontId="1" fillId="27" borderId="16" xfId="74" applyFont="1" applyFill="1" applyBorder="1" applyAlignment="1">
      <alignment horizontal="center" vertical="center" shrinkToFit="1"/>
    </xf>
    <xf numFmtId="0" fontId="41" fillId="27" borderId="11" xfId="0" applyFont="1" applyFill="1" applyBorder="1" applyAlignment="1">
      <alignment horizontal="left" vertical="center"/>
    </xf>
    <xf numFmtId="0" fontId="41" fillId="27" borderId="11" xfId="71" applyFont="1" applyFill="1" applyBorder="1" applyAlignment="1">
      <alignment horizontal="left" vertical="center"/>
    </xf>
    <xf numFmtId="0" fontId="41" fillId="27" borderId="11" xfId="58" applyFont="1" applyFill="1" applyBorder="1" applyAlignment="1">
      <alignment horizontal="center" vertical="center"/>
    </xf>
    <xf numFmtId="0" fontId="41" fillId="27" borderId="11" xfId="65" applyFont="1" applyFill="1" applyBorder="1" applyAlignment="1">
      <alignment horizontal="left" vertical="center"/>
    </xf>
    <xf numFmtId="0" fontId="41" fillId="27" borderId="11" xfId="65" applyFont="1" applyFill="1" applyBorder="1" applyAlignment="1">
      <alignment horizontal="center" vertical="center"/>
    </xf>
    <xf numFmtId="0" fontId="41" fillId="27" borderId="11" xfId="0" applyFont="1" applyFill="1" applyBorder="1" applyAlignment="1" applyProtection="1">
      <alignment horizontal="center" vertical="center" shrinkToFit="1"/>
    </xf>
    <xf numFmtId="0" fontId="41" fillId="27" borderId="11" xfId="70" applyFont="1" applyFill="1" applyBorder="1" applyAlignment="1">
      <alignment horizontal="left" vertical="center"/>
    </xf>
    <xf numFmtId="0" fontId="41" fillId="27" borderId="11" xfId="70" applyFont="1" applyFill="1" applyBorder="1" applyAlignment="1" applyProtection="1">
      <alignment horizontal="center" vertical="center" shrinkToFit="1"/>
      <protection locked="0"/>
    </xf>
    <xf numFmtId="0" fontId="41" fillId="27" borderId="11" xfId="70" applyFont="1" applyFill="1" applyBorder="1" applyAlignment="1">
      <alignment horizontal="center" vertical="center"/>
    </xf>
    <xf numFmtId="0" fontId="41" fillId="27" borderId="11" xfId="60" applyFont="1" applyFill="1" applyBorder="1" applyAlignment="1" applyProtection="1">
      <alignment horizontal="left" vertical="center"/>
    </xf>
    <xf numFmtId="0" fontId="41" fillId="27" borderId="11" xfId="0" applyFont="1" applyFill="1" applyBorder="1" applyAlignment="1" applyProtection="1">
      <alignment horizontal="center" vertical="center" shrinkToFit="1"/>
      <protection locked="0"/>
    </xf>
    <xf numFmtId="176" fontId="41" fillId="27" borderId="11" xfId="60" applyNumberFormat="1" applyFont="1" applyFill="1" applyBorder="1" applyAlignment="1" applyProtection="1">
      <alignment horizontal="left" vertical="center"/>
      <protection locked="0"/>
    </xf>
    <xf numFmtId="0" fontId="41" fillId="27" borderId="11" xfId="62" applyFont="1" applyFill="1" applyBorder="1" applyAlignment="1" applyProtection="1">
      <alignment horizontal="left" vertical="center"/>
      <protection locked="0"/>
    </xf>
    <xf numFmtId="0" fontId="41" fillId="27" borderId="11" xfId="62" applyFont="1" applyFill="1" applyBorder="1" applyAlignment="1" applyProtection="1">
      <alignment horizontal="center" vertical="center"/>
      <protection locked="0"/>
    </xf>
    <xf numFmtId="0" fontId="41" fillId="27" borderId="11" xfId="74" applyFont="1" applyFill="1" applyBorder="1" applyAlignment="1">
      <alignment horizontal="center" vertical="center"/>
    </xf>
    <xf numFmtId="0" fontId="41" fillId="27" borderId="11" xfId="60" applyFont="1" applyFill="1" applyBorder="1" applyAlignment="1">
      <alignment horizontal="left" vertical="center"/>
    </xf>
    <xf numFmtId="0" fontId="41" fillId="27" borderId="11" xfId="0" applyFont="1" applyFill="1" applyBorder="1" applyAlignment="1" applyProtection="1">
      <alignment horizontal="center" vertical="center"/>
    </xf>
    <xf numFmtId="0" fontId="41" fillId="27" borderId="11" xfId="60" applyFont="1" applyFill="1" applyBorder="1" applyAlignment="1" applyProtection="1">
      <alignment horizontal="left" vertical="center" shrinkToFit="1"/>
    </xf>
    <xf numFmtId="0" fontId="41" fillId="27" borderId="11" xfId="61" applyFont="1" applyFill="1" applyBorder="1" applyAlignment="1">
      <alignment horizontal="center" vertical="center"/>
    </xf>
    <xf numFmtId="0" fontId="41" fillId="27" borderId="11" xfId="63" applyFont="1" applyFill="1" applyBorder="1" applyAlignment="1">
      <alignment horizontal="left" vertical="center" shrinkToFit="1"/>
    </xf>
    <xf numFmtId="0" fontId="41" fillId="27" borderId="11" xfId="63" applyFont="1" applyFill="1" applyBorder="1" applyAlignment="1" applyProtection="1">
      <alignment horizontal="center" vertical="center" shrinkToFit="1"/>
      <protection locked="0"/>
    </xf>
    <xf numFmtId="0" fontId="41" fillId="27" borderId="11" xfId="63" applyFont="1" applyFill="1" applyBorder="1" applyAlignment="1">
      <alignment horizontal="center" vertical="center" shrinkToFit="1"/>
    </xf>
    <xf numFmtId="0" fontId="41" fillId="27" borderId="11" xfId="64" applyFont="1" applyFill="1" applyBorder="1" applyAlignment="1">
      <alignment horizontal="left" vertical="center" shrinkToFit="1"/>
    </xf>
    <xf numFmtId="0" fontId="41" fillId="27" borderId="11" xfId="64" applyFont="1" applyFill="1" applyBorder="1" applyAlignment="1">
      <alignment horizontal="center" vertical="center"/>
    </xf>
    <xf numFmtId="0" fontId="14" fillId="0" borderId="11" xfId="74" applyFont="1" applyBorder="1" applyAlignment="1">
      <alignment horizontal="left" vertical="center"/>
    </xf>
    <xf numFmtId="0" fontId="15" fillId="0" borderId="11" xfId="74" applyFont="1" applyBorder="1" applyAlignment="1">
      <alignment horizontal="left" vertical="center"/>
    </xf>
    <xf numFmtId="0" fontId="15" fillId="0" borderId="11" xfId="74" applyFont="1" applyBorder="1" applyAlignment="1"/>
    <xf numFmtId="0" fontId="10" fillId="20" borderId="31" xfId="0" applyFont="1" applyFill="1" applyBorder="1" applyAlignment="1" applyProtection="1">
      <alignment horizontal="center" vertical="center" shrinkToFit="1"/>
    </xf>
    <xf numFmtId="0" fontId="10" fillId="20" borderId="11" xfId="0" applyFont="1" applyFill="1" applyBorder="1" applyAlignment="1" applyProtection="1">
      <alignment horizontal="center" vertical="center" shrinkToFit="1"/>
    </xf>
    <xf numFmtId="0" fontId="10" fillId="20" borderId="32" xfId="0" applyFont="1" applyFill="1" applyBorder="1" applyAlignment="1" applyProtection="1">
      <alignment horizontal="center" vertical="center" shrinkToFit="1"/>
    </xf>
    <xf numFmtId="0" fontId="10" fillId="20" borderId="17" xfId="0" applyFont="1" applyFill="1" applyBorder="1" applyAlignment="1" applyProtection="1">
      <alignment horizontal="center" vertical="center" shrinkToFit="1"/>
    </xf>
    <xf numFmtId="0" fontId="10" fillId="21" borderId="11" xfId="74" applyFont="1" applyFill="1" applyBorder="1" applyAlignment="1">
      <alignment horizontal="center" vertical="center"/>
    </xf>
    <xf numFmtId="0" fontId="10" fillId="18" borderId="11" xfId="74" applyFont="1" applyFill="1" applyBorder="1" applyAlignment="1">
      <alignment horizontal="center" vertical="center"/>
    </xf>
    <xf numFmtId="0" fontId="11" fillId="18" borderId="11" xfId="74" applyFont="1" applyFill="1" applyBorder="1" applyAlignment="1">
      <alignment horizontal="center" vertical="center"/>
    </xf>
    <xf numFmtId="0" fontId="10" fillId="22" borderId="11" xfId="74" applyFont="1" applyFill="1" applyBorder="1" applyAlignment="1">
      <alignment horizontal="center" vertical="center"/>
    </xf>
    <xf numFmtId="0" fontId="13" fillId="0" borderId="11" xfId="74" applyFont="1" applyBorder="1" applyAlignment="1"/>
    <xf numFmtId="0" fontId="10" fillId="23" borderId="11" xfId="74" applyFont="1" applyFill="1" applyBorder="1" applyAlignment="1">
      <alignment horizontal="center" vertical="center"/>
    </xf>
    <xf numFmtId="0" fontId="10" fillId="19" borderId="11" xfId="74" applyFont="1" applyFill="1" applyBorder="1" applyAlignment="1">
      <alignment horizontal="center" vertical="center"/>
    </xf>
    <xf numFmtId="0" fontId="10" fillId="24" borderId="11" xfId="74" applyFont="1" applyFill="1" applyBorder="1" applyAlignment="1">
      <alignment horizontal="center" vertical="center"/>
    </xf>
    <xf numFmtId="0" fontId="11" fillId="0" borderId="11" xfId="74" applyFont="1" applyBorder="1" applyAlignment="1">
      <alignment horizontal="center" vertical="center"/>
    </xf>
    <xf numFmtId="0" fontId="10" fillId="25" borderId="11" xfId="74" applyFont="1" applyFill="1" applyBorder="1" applyAlignment="1">
      <alignment horizontal="center" vertical="center"/>
    </xf>
    <xf numFmtId="0" fontId="10" fillId="20" borderId="23" xfId="74" applyFont="1" applyFill="1" applyBorder="1" applyAlignment="1">
      <alignment horizontal="center" vertical="center"/>
    </xf>
    <xf numFmtId="0" fontId="10" fillId="20" borderId="17" xfId="74" applyFont="1" applyFill="1" applyBorder="1" applyAlignment="1">
      <alignment horizontal="center" vertical="center"/>
    </xf>
    <xf numFmtId="0" fontId="10" fillId="20" borderId="24" xfId="74" applyFont="1" applyFill="1" applyBorder="1" applyAlignment="1">
      <alignment horizontal="center" vertical="center"/>
    </xf>
    <xf numFmtId="0" fontId="4" fillId="0" borderId="16" xfId="74" applyFont="1" applyBorder="1" applyAlignment="1">
      <alignment horizontal="center" vertical="center" textRotation="255" shrinkToFit="1"/>
    </xf>
    <xf numFmtId="0" fontId="4" fillId="0" borderId="17" xfId="74" applyFont="1" applyBorder="1" applyAlignment="1">
      <alignment horizontal="center" vertical="center" textRotation="255" shrinkToFit="1"/>
    </xf>
    <xf numFmtId="0" fontId="4" fillId="0" borderId="25" xfId="74" applyFont="1" applyBorder="1" applyAlignment="1">
      <alignment horizontal="center" vertical="center" textRotation="255" shrinkToFit="1"/>
    </xf>
    <xf numFmtId="0" fontId="10" fillId="0" borderId="26" xfId="74" applyFont="1" applyBorder="1" applyAlignment="1" applyProtection="1">
      <alignment horizontal="center" vertical="center"/>
    </xf>
    <xf numFmtId="0" fontId="10" fillId="0" borderId="27" xfId="74" applyFont="1" applyBorder="1" applyAlignment="1" applyProtection="1">
      <alignment horizontal="center" vertical="center"/>
    </xf>
    <xf numFmtId="0" fontId="10" fillId="0" borderId="28" xfId="74" applyFont="1" applyBorder="1" applyAlignment="1" applyProtection="1">
      <alignment horizontal="center" vertical="center"/>
    </xf>
    <xf numFmtId="0" fontId="10" fillId="0" borderId="21" xfId="74" applyFont="1" applyBorder="1" applyAlignment="1" applyProtection="1">
      <alignment horizontal="center" vertical="center"/>
    </xf>
    <xf numFmtId="0" fontId="10" fillId="0" borderId="29" xfId="74" applyFont="1" applyBorder="1" applyAlignment="1" applyProtection="1">
      <alignment horizontal="left" vertical="center" wrapText="1" shrinkToFit="1"/>
    </xf>
    <xf numFmtId="0" fontId="10" fillId="0" borderId="30" xfId="74" applyFont="1" applyBorder="1" applyAlignment="1" applyProtection="1">
      <alignment horizontal="left" vertical="center" wrapText="1" shrinkToFit="1"/>
    </xf>
    <xf numFmtId="0" fontId="10" fillId="0" borderId="11" xfId="0" applyFont="1" applyBorder="1" applyAlignment="1" applyProtection="1">
      <alignment horizontal="center" vertical="center"/>
    </xf>
    <xf numFmtId="0" fontId="10" fillId="0" borderId="18" xfId="0" applyFont="1" applyBorder="1" applyAlignment="1" applyProtection="1">
      <alignment horizontal="center" vertical="center"/>
    </xf>
    <xf numFmtId="0" fontId="11" fillId="19" borderId="11" xfId="74" applyFont="1" applyFill="1" applyBorder="1" applyAlignment="1">
      <alignment horizontal="center" vertical="center"/>
    </xf>
    <xf numFmtId="41" fontId="41" fillId="26" borderId="11" xfId="40" applyFont="1" applyFill="1" applyBorder="1" applyAlignment="1">
      <alignment horizontal="center"/>
    </xf>
    <xf numFmtId="0" fontId="3" fillId="17" borderId="11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0" fontId="11" fillId="0" borderId="38" xfId="0" applyFont="1" applyBorder="1"/>
    <xf numFmtId="0" fontId="12" fillId="0" borderId="39" xfId="0" applyFont="1" applyBorder="1" applyAlignment="1">
      <alignment horizontal="left" vertical="center"/>
    </xf>
    <xf numFmtId="0" fontId="12" fillId="0" borderId="40" xfId="0" applyFont="1" applyBorder="1" applyAlignment="1">
      <alignment horizontal="left" vertical="center"/>
    </xf>
    <xf numFmtId="0" fontId="12" fillId="0" borderId="41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4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1" fillId="0" borderId="11" xfId="0" applyFont="1" applyBorder="1"/>
    <xf numFmtId="0" fontId="10" fillId="0" borderId="36" xfId="0" applyFont="1" applyBorder="1" applyAlignment="1">
      <alignment horizontal="left" vertical="center"/>
    </xf>
    <xf numFmtId="0" fontId="11" fillId="0" borderId="16" xfId="0" applyFont="1" applyBorder="1"/>
    <xf numFmtId="41" fontId="3" fillId="17" borderId="16" xfId="40" applyFont="1" applyFill="1" applyBorder="1" applyAlignment="1">
      <alignment horizontal="center" vertical="center"/>
    </xf>
    <xf numFmtId="41" fontId="3" fillId="17" borderId="25" xfId="40" applyFont="1" applyFill="1" applyBorder="1" applyAlignment="1">
      <alignment horizontal="center" vertical="center"/>
    </xf>
    <xf numFmtId="0" fontId="3" fillId="17" borderId="33" xfId="0" applyFont="1" applyFill="1" applyBorder="1" applyAlignment="1">
      <alignment horizontal="center" vertical="center"/>
    </xf>
    <xf numFmtId="0" fontId="3" fillId="17" borderId="34" xfId="0" applyFont="1" applyFill="1" applyBorder="1" applyAlignment="1">
      <alignment horizontal="center" vertical="center"/>
    </xf>
    <xf numFmtId="0" fontId="10" fillId="0" borderId="35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3" fillId="17" borderId="31" xfId="0" applyFont="1" applyFill="1" applyBorder="1" applyAlignment="1">
      <alignment horizontal="center" vertical="center"/>
    </xf>
    <xf numFmtId="0" fontId="3" fillId="17" borderId="36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</cellXfs>
  <cellStyles count="92">
    <cellStyle name="??&amp;O?&amp;H?_x0008__x000f__x0007_?_x0007__x0001__x0001_" xfId="1"/>
    <cellStyle name="??&amp;O?&amp;H?_x0008_??_x0007__x0001__x0001_" xfId="2"/>
    <cellStyle name="20% - 강조색1" xfId="3" builtinId="30" customBuiltin="1"/>
    <cellStyle name="20% - 강조색2" xfId="4" builtinId="34" customBuiltin="1"/>
    <cellStyle name="20% - 강조색3" xfId="5" builtinId="38" customBuiltin="1"/>
    <cellStyle name="20% - 강조색4" xfId="6" builtinId="42" customBuiltin="1"/>
    <cellStyle name="20% - 강조색5" xfId="7" builtinId="46" customBuiltin="1"/>
    <cellStyle name="20% - 강조색6" xfId="8" builtinId="50" customBuiltin="1"/>
    <cellStyle name="40% - 강조색1" xfId="9" builtinId="31" customBuiltin="1"/>
    <cellStyle name="40% - 강조색2" xfId="10" builtinId="35" customBuiltin="1"/>
    <cellStyle name="40% - 강조색3" xfId="11" builtinId="39" customBuiltin="1"/>
    <cellStyle name="40% - 강조색4" xfId="12" builtinId="43" customBuiltin="1"/>
    <cellStyle name="40% - 강조색5" xfId="13" builtinId="47" customBuiltin="1"/>
    <cellStyle name="40% - 강조색6" xfId="14" builtinId="51" customBuiltin="1"/>
    <cellStyle name="60% - 강조색1" xfId="15" builtinId="32" customBuiltin="1"/>
    <cellStyle name="60% - 강조색2" xfId="16" builtinId="36" customBuiltin="1"/>
    <cellStyle name="60% - 강조색3" xfId="17" builtinId="40" customBuiltin="1"/>
    <cellStyle name="60% - 강조색4" xfId="18" builtinId="44" customBuiltin="1"/>
    <cellStyle name="60% - 강조색5" xfId="19" builtinId="48" customBuiltin="1"/>
    <cellStyle name="60% - 강조색6" xfId="20" builtinId="52" customBuiltin="1"/>
    <cellStyle name="강조색1" xfId="21" builtinId="29" customBuiltin="1"/>
    <cellStyle name="강조색2" xfId="22" builtinId="33" customBuiltin="1"/>
    <cellStyle name="강조색3" xfId="23" builtinId="37" customBuiltin="1"/>
    <cellStyle name="강조색4" xfId="24" builtinId="41" customBuiltin="1"/>
    <cellStyle name="강조색5" xfId="25" builtinId="45" customBuiltin="1"/>
    <cellStyle name="강조색6" xfId="26" builtinId="49" customBuiltin="1"/>
    <cellStyle name="경고문" xfId="27" builtinId="11" customBuiltin="1"/>
    <cellStyle name="계산" xfId="28" builtinId="22" customBuiltin="1"/>
    <cellStyle name="고정소숫점" xfId="29"/>
    <cellStyle name="고정출력1" xfId="30"/>
    <cellStyle name="고정출력2" xfId="31"/>
    <cellStyle name="나쁨" xfId="32" builtinId="27" customBuiltin="1"/>
    <cellStyle name="날짜" xfId="33"/>
    <cellStyle name="달러" xfId="34"/>
    <cellStyle name="메모" xfId="35" builtinId="10" customBuiltin="1"/>
    <cellStyle name="보통" xfId="36" builtinId="28" customBuiltin="1"/>
    <cellStyle name="뷭?_BOOKSHIP" xfId="37"/>
    <cellStyle name="설명 텍스트" xfId="38" builtinId="53" customBuiltin="1"/>
    <cellStyle name="셀 확인" xfId="39" builtinId="23" customBuiltin="1"/>
    <cellStyle name="쉼표 [0]" xfId="40" builtinId="6"/>
    <cellStyle name="연결된 셀" xfId="41" builtinId="24" customBuiltin="1"/>
    <cellStyle name="요약" xfId="42" builtinId="25" customBuiltin="1"/>
    <cellStyle name="입력" xfId="43" builtinId="20" customBuiltin="1"/>
    <cellStyle name="자리수" xfId="44"/>
    <cellStyle name="자리수0" xfId="45"/>
    <cellStyle name="제목" xfId="46" builtinId="15" customBuiltin="1"/>
    <cellStyle name="제목 1" xfId="47" builtinId="16" customBuiltin="1"/>
    <cellStyle name="제목 2" xfId="48" builtinId="17" customBuiltin="1"/>
    <cellStyle name="제목 3" xfId="49" builtinId="18" customBuiltin="1"/>
    <cellStyle name="제목 4" xfId="50" builtinId="19" customBuiltin="1"/>
    <cellStyle name="좋음" xfId="51" builtinId="26" customBuiltin="1"/>
    <cellStyle name="출력" xfId="52" builtinId="21" customBuiltin="1"/>
    <cellStyle name="콤마 [0]_≫i¼ºSDI (2)" xfId="53"/>
    <cellStyle name="콤마_≫i¼ºSDI (2)" xfId="54"/>
    <cellStyle name="퍼센트" xfId="55"/>
    <cellStyle name="표준" xfId="0" builtinId="0"/>
    <cellStyle name="표준_02SS-GSS-124 삼성전자(주) 기흥 4.5 LINE 1차분 GSS 기구설계 PART LIST1" xfId="56"/>
    <cellStyle name="표준_03GEN-GSS-022 기구설계 PART LIST_REVnwew" xfId="57"/>
    <cellStyle name="표준_106095_삼성전자 광통신 BOM_R17" xfId="58"/>
    <cellStyle name="표준_106095_삼성전자 광통신 BOM_R18" xfId="59"/>
    <cellStyle name="표준_106095_삼성전자 광통신 VMB_R2" xfId="60"/>
    <cellStyle name="표준_106108 기구설계 PART LIST REV_4" xfId="61"/>
    <cellStyle name="표준_106244 A1 B존-PJT BUNDLE BOM_R2" xfId="62"/>
    <cellStyle name="표준_107006광전자 BOM" xfId="63"/>
    <cellStyle name="표준_107015_ACA-N-050 rev.0" xfId="64"/>
    <cellStyle name="표준_109143 삼성 S1보완투자 BOM REV_2" xfId="65"/>
    <cellStyle name="표준_109186 ACA-RA-100 삼성전자 12 LINE  BOM REV_1" xfId="66"/>
    <cellStyle name="표준_110062 삼성전자 PURIFIER BOM REV_5" xfId="67"/>
    <cellStyle name="표준_110185 GSMC GC VMB BOM REV_0" xfId="68"/>
    <cellStyle name="표준_111036 린데 ACA-O-010 BOM REV_0" xfId="69"/>
    <cellStyle name="표준_112050 아론 PURIFIER BOM rev_3" xfId="70"/>
    <cellStyle name="표준_일진 GAS CABINET PART LIST" xfId="71"/>
    <cellStyle name="표준_자재소요" xfId="72"/>
    <cellStyle name="표준_자재소요목록" xfId="73"/>
    <cellStyle name="표준_bom" xfId="74"/>
    <cellStyle name="표준_Sheet1" xfId="75"/>
    <cellStyle name="합산" xfId="76"/>
    <cellStyle name="화폐기호" xfId="77"/>
    <cellStyle name="화폐기호0" xfId="78"/>
    <cellStyle name="ÅëÈ­ [0]_laroux" xfId="79"/>
    <cellStyle name="ÅëÈ­_laroux" xfId="80"/>
    <cellStyle name="ÄÞ¸¶ [0]_¹Ú½ÇÇà" xfId="81"/>
    <cellStyle name="ÄÞ¸¶_laroux" xfId="82"/>
    <cellStyle name="Ç¥ÁØ_074" xfId="83"/>
    <cellStyle name="Comma [0]_ SG&amp;A Bridge " xfId="84"/>
    <cellStyle name="Comma_ SG&amp;A Bridge " xfId="85"/>
    <cellStyle name="Currency [0]_ SG&amp;A Bridge " xfId="86"/>
    <cellStyle name="Currency_ SG&amp;A Bridge " xfId="87"/>
    <cellStyle name="Komma_P280297" xfId="88"/>
    <cellStyle name="Normal_ SG&amp;A Bridge " xfId="89"/>
    <cellStyle name="Standaard_P280297" xfId="90"/>
    <cellStyle name="Valuta_P280297" xfId="9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9993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$E$3" fmlaRange="#REF!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0</xdr:row>
      <xdr:rowOff>180975</xdr:rowOff>
    </xdr:from>
    <xdr:to>
      <xdr:col>14</xdr:col>
      <xdr:colOff>1276350</xdr:colOff>
      <xdr:row>2</xdr:row>
      <xdr:rowOff>447675</xdr:rowOff>
    </xdr:to>
    <xdr:pic>
      <xdr:nvPicPr>
        <xdr:cNvPr id="43418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180975"/>
          <a:ext cx="2428875" cy="1409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0</xdr:row>
      <xdr:rowOff>28575</xdr:rowOff>
    </xdr:from>
    <xdr:to>
      <xdr:col>11</xdr:col>
      <xdr:colOff>1333500</xdr:colOff>
      <xdr:row>2</xdr:row>
      <xdr:rowOff>247650</xdr:rowOff>
    </xdr:to>
    <xdr:pic>
      <xdr:nvPicPr>
        <xdr:cNvPr id="43623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28575"/>
          <a:ext cx="3733800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114300</xdr:rowOff>
        </xdr:from>
        <xdr:to>
          <xdr:col>5</xdr:col>
          <xdr:colOff>0</xdr:colOff>
          <xdr:row>2</xdr:row>
          <xdr:rowOff>133350</xdr:rowOff>
        </xdr:to>
        <xdr:sp macro="" textlink="">
          <xdr:nvSpPr>
            <xdr:cNvPr id="59393" name="Drop Dow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66675</xdr:rowOff>
        </xdr:from>
        <xdr:to>
          <xdr:col>8</xdr:col>
          <xdr:colOff>0</xdr:colOff>
          <xdr:row>2</xdr:row>
          <xdr:rowOff>142875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굴림체"/>
                  <a:ea typeface="굴림체"/>
                </a:rPr>
                <a:t>등록실행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23</xdr:row>
          <xdr:rowOff>9525</xdr:rowOff>
        </xdr:from>
        <xdr:to>
          <xdr:col>11</xdr:col>
          <xdr:colOff>9525</xdr:colOff>
          <xdr:row>24</xdr:row>
          <xdr:rowOff>152400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Part List 작성(ver040127)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373;&#49328;&#44060;&#48156;&#49436;&#48260;\&#44592;&#44396;&#49444;&#44228;-Part\Documents%20and%20Settings\Administrator\Local%20Settings\Temp\_AZTMP0_\30minlessonforBaby_05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SMC\BidPack\SpecGas\Data\NewGasConsW9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BOOK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373;&#49328;&#44060;&#48156;&#49436;&#48260;\&#44592;&#44396;&#49444;&#44228;-Part\Program%20Files\WebApp\System\t-pjt%20&#51333;&#54633;021101_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"/>
    </sheetNames>
    <sheetDataSet>
      <sheetData sheetId="0">
        <row r="54">
          <cell r="C54" t="str">
            <v>서울</v>
          </cell>
        </row>
        <row r="55">
          <cell r="C55" t="str">
            <v>인천</v>
          </cell>
        </row>
        <row r="56">
          <cell r="C56" t="str">
            <v>부산</v>
          </cell>
        </row>
        <row r="57">
          <cell r="C57" t="str">
            <v>광주</v>
          </cell>
        </row>
        <row r="58">
          <cell r="C58" t="str">
            <v>대구</v>
          </cell>
        </row>
        <row r="59">
          <cell r="C59" t="str">
            <v>천안</v>
          </cell>
        </row>
        <row r="60">
          <cell r="C60" t="str">
            <v>대전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280297"/>
      <sheetName val="WORK"/>
      <sheetName val="Manpower in hours"/>
      <sheetName val="Sheet1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"/>
      <sheetName val="MASTER PLC"/>
    </sheetNames>
    <sheetDataSet>
      <sheetData sheetId="0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1%PH3-N2"/>
      <sheetName val="0.1%PH3-N2-1"/>
      <sheetName val="4%H2-N2"/>
      <sheetName val="4%H2-N2-1"/>
      <sheetName val="CO"/>
      <sheetName val="CO-1"/>
      <sheetName val="CH2F2"/>
      <sheetName val="CH2F2-1"/>
      <sheetName val="C2H2F2"/>
      <sheetName val="C2H2F2-1"/>
      <sheetName val="SiH4"/>
      <sheetName val="SiH4-1"/>
      <sheetName val="HBr"/>
      <sheetName val="HBr-1"/>
      <sheetName val="HCl"/>
      <sheetName val="HCl-1"/>
      <sheetName val="NF3"/>
      <sheetName val="NF3-1"/>
      <sheetName val="B2H6"/>
      <sheetName val="B2H6-1"/>
      <sheetName val="ClF3"/>
      <sheetName val="ClF3-1"/>
      <sheetName val="BCl3"/>
      <sheetName val="BCl3-1"/>
      <sheetName val="Cl2"/>
      <sheetName val="Cl2-1"/>
      <sheetName val="DCS"/>
      <sheetName val="DCS-1"/>
      <sheetName val="HF"/>
      <sheetName val="HF-1"/>
      <sheetName val="C4F6"/>
      <sheetName val="C4F6-1"/>
      <sheetName val="C5F8"/>
      <sheetName val="C5F8-1"/>
      <sheetName val="CH3F"/>
      <sheetName val="CH3F-1"/>
      <sheetName val="C2H2F4"/>
      <sheetName val="C2H2F4-1"/>
      <sheetName val="WF6"/>
      <sheetName val="WF6-1"/>
      <sheetName val="F2KrNe"/>
      <sheetName val="F2KrNe-1"/>
      <sheetName val="Basic Model"/>
      <sheetName val="Total Part List"/>
      <sheetName val="생산의뢰서"/>
      <sheetName val="t-pjt 종합021101_01"/>
    </sheetNames>
    <definedNames>
      <definedName name="Button3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 enableFormatConditionsCalculation="0">
    <tabColor indexed="45"/>
  </sheetPr>
  <dimension ref="A1:S449"/>
  <sheetViews>
    <sheetView tabSelected="1" topLeftCell="A297" zoomScale="85" zoomScaleNormal="85" workbookViewId="0">
      <selection activeCell="F310" sqref="F310"/>
    </sheetView>
  </sheetViews>
  <sheetFormatPr defaultColWidth="7.109375" defaultRowHeight="12"/>
  <cols>
    <col min="1" max="2" width="9.109375" style="14" customWidth="1"/>
    <col min="3" max="3" width="5.21875" style="14" customWidth="1"/>
    <col min="4" max="4" width="14.5546875" style="14" customWidth="1"/>
    <col min="5" max="5" width="26.33203125" style="14" customWidth="1"/>
    <col min="6" max="6" width="16.109375" style="14" customWidth="1"/>
    <col min="7" max="7" width="27.33203125" style="14" customWidth="1"/>
    <col min="8" max="8" width="10.5546875" style="14" customWidth="1"/>
    <col min="9" max="9" width="11.88671875" style="20" customWidth="1"/>
    <col min="10" max="10" width="11.21875" style="14" customWidth="1"/>
    <col min="11" max="14" width="6.77734375" style="14" customWidth="1"/>
    <col min="15" max="15" width="22.44140625" style="14" customWidth="1"/>
    <col min="16" max="16384" width="7.109375" style="14"/>
  </cols>
  <sheetData>
    <row r="1" spans="1:19" ht="45.4" customHeight="1">
      <c r="A1" s="216" t="s">
        <v>209</v>
      </c>
      <c r="B1" s="217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</row>
    <row r="2" spans="1:19" ht="45.4" customHeight="1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</row>
    <row r="3" spans="1:19" ht="45.4" customHeight="1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</row>
    <row r="4" spans="1:19" ht="30" customHeight="1">
      <c r="A4" s="219" t="s">
        <v>1259</v>
      </c>
      <c r="B4" s="220"/>
      <c r="C4" s="220"/>
      <c r="D4" s="111" t="s">
        <v>1268</v>
      </c>
      <c r="E4" s="112" t="s">
        <v>1260</v>
      </c>
      <c r="F4" s="113" t="s">
        <v>1261</v>
      </c>
      <c r="G4" s="113" t="s">
        <v>1262</v>
      </c>
      <c r="H4" s="114" t="s">
        <v>1263</v>
      </c>
      <c r="I4" s="114" t="s">
        <v>1264</v>
      </c>
      <c r="J4" s="114" t="s">
        <v>1265</v>
      </c>
      <c r="K4" s="245" t="s">
        <v>1266</v>
      </c>
      <c r="L4" s="245"/>
      <c r="M4" s="239" t="s">
        <v>1267</v>
      </c>
      <c r="N4" s="240"/>
      <c r="O4" s="243"/>
      <c r="P4" s="15"/>
      <c r="Q4" s="16"/>
    </row>
    <row r="5" spans="1:19" ht="30" customHeight="1" thickBot="1">
      <c r="A5" s="221"/>
      <c r="B5" s="222"/>
      <c r="C5" s="222"/>
      <c r="D5" s="115"/>
      <c r="E5" s="116"/>
      <c r="F5" s="116"/>
      <c r="G5" s="116"/>
      <c r="H5" s="117"/>
      <c r="I5" s="118"/>
      <c r="J5" s="119"/>
      <c r="K5" s="246">
        <v>1</v>
      </c>
      <c r="L5" s="246"/>
      <c r="M5" s="241"/>
      <c r="N5" s="242"/>
      <c r="O5" s="244"/>
      <c r="P5" s="15"/>
      <c r="Q5" s="16"/>
    </row>
    <row r="6" spans="1:19" ht="10.35" customHeight="1" thickTop="1">
      <c r="A6" s="229" t="s">
        <v>210</v>
      </c>
      <c r="B6" s="229"/>
      <c r="C6" s="247"/>
      <c r="D6" s="233" t="s">
        <v>1269</v>
      </c>
      <c r="E6" s="229" t="s">
        <v>211</v>
      </c>
      <c r="F6" s="229" t="s">
        <v>212</v>
      </c>
      <c r="G6" s="229" t="s">
        <v>213</v>
      </c>
      <c r="H6" s="229" t="s">
        <v>214</v>
      </c>
      <c r="I6" s="229" t="s">
        <v>215</v>
      </c>
      <c r="J6" s="229" t="s">
        <v>216</v>
      </c>
      <c r="K6" s="232" t="s">
        <v>217</v>
      </c>
      <c r="L6" s="227"/>
      <c r="M6" s="232" t="s">
        <v>218</v>
      </c>
      <c r="N6" s="227"/>
      <c r="O6" s="230" t="s">
        <v>219</v>
      </c>
    </row>
    <row r="7" spans="1:19" ht="10.35" customHeight="1">
      <c r="A7" s="247"/>
      <c r="B7" s="247"/>
      <c r="C7" s="247"/>
      <c r="D7" s="234"/>
      <c r="E7" s="229"/>
      <c r="F7" s="231"/>
      <c r="G7" s="229"/>
      <c r="H7" s="229"/>
      <c r="I7" s="229"/>
      <c r="J7" s="229"/>
      <c r="K7" s="227"/>
      <c r="L7" s="227"/>
      <c r="M7" s="227"/>
      <c r="N7" s="227"/>
      <c r="O7" s="230"/>
    </row>
    <row r="8" spans="1:19" ht="10.35" customHeight="1">
      <c r="A8" s="224" t="s">
        <v>220</v>
      </c>
      <c r="B8" s="223" t="s">
        <v>221</v>
      </c>
      <c r="C8" s="224" t="s">
        <v>222</v>
      </c>
      <c r="D8" s="234"/>
      <c r="E8" s="229"/>
      <c r="F8" s="231"/>
      <c r="G8" s="229"/>
      <c r="H8" s="229"/>
      <c r="I8" s="229"/>
      <c r="J8" s="229"/>
      <c r="K8" s="226" t="s">
        <v>223</v>
      </c>
      <c r="L8" s="228" t="s">
        <v>929</v>
      </c>
      <c r="M8" s="226" t="s">
        <v>224</v>
      </c>
      <c r="N8" s="228" t="s">
        <v>225</v>
      </c>
      <c r="O8" s="230"/>
    </row>
    <row r="9" spans="1:19" ht="10.35" customHeight="1" thickBot="1">
      <c r="A9" s="224"/>
      <c r="B9" s="223"/>
      <c r="C9" s="225"/>
      <c r="D9" s="235"/>
      <c r="E9" s="229"/>
      <c r="F9" s="231"/>
      <c r="G9" s="229"/>
      <c r="H9" s="229"/>
      <c r="I9" s="229"/>
      <c r="J9" s="229"/>
      <c r="K9" s="227"/>
      <c r="L9" s="227"/>
      <c r="M9" s="227"/>
      <c r="N9" s="227"/>
      <c r="O9" s="230"/>
    </row>
    <row r="10" spans="1:19" ht="9.9499999999999993" customHeight="1">
      <c r="A10" s="236" t="s">
        <v>226</v>
      </c>
      <c r="B10" s="236" t="s">
        <v>227</v>
      </c>
      <c r="C10" s="22">
        <v>1</v>
      </c>
      <c r="D10" s="120"/>
      <c r="E10" s="33" t="s">
        <v>1170</v>
      </c>
      <c r="F10" s="126"/>
      <c r="G10" s="127" t="s">
        <v>1000</v>
      </c>
      <c r="H10" s="126"/>
      <c r="I10" s="128" t="s">
        <v>1001</v>
      </c>
      <c r="J10" s="129" t="s">
        <v>1174</v>
      </c>
      <c r="K10" s="129">
        <v>9</v>
      </c>
      <c r="L10" s="130">
        <f t="shared" ref="L10:L41" si="0">K10*$K$5</f>
        <v>9</v>
      </c>
      <c r="M10" s="18"/>
      <c r="N10" s="18"/>
      <c r="O10" s="18"/>
      <c r="P10" s="17"/>
      <c r="Q10" s="17"/>
      <c r="R10" s="17"/>
      <c r="S10" s="17"/>
    </row>
    <row r="11" spans="1:19" ht="9.9499999999999993" customHeight="1">
      <c r="A11" s="237"/>
      <c r="B11" s="237"/>
      <c r="C11" s="22">
        <v>2</v>
      </c>
      <c r="D11" s="121"/>
      <c r="E11" s="33" t="s">
        <v>559</v>
      </c>
      <c r="F11" s="126"/>
      <c r="G11" s="131" t="s">
        <v>612</v>
      </c>
      <c r="H11" s="126"/>
      <c r="I11" s="132" t="s">
        <v>613</v>
      </c>
      <c r="J11" s="129" t="s">
        <v>561</v>
      </c>
      <c r="K11" s="129">
        <v>12</v>
      </c>
      <c r="L11" s="130">
        <f t="shared" si="0"/>
        <v>12</v>
      </c>
      <c r="M11" s="18"/>
      <c r="N11" s="18"/>
      <c r="O11" s="18"/>
      <c r="P11" s="17"/>
      <c r="Q11" s="17"/>
      <c r="R11" s="17"/>
      <c r="S11" s="17"/>
    </row>
    <row r="12" spans="1:19" ht="9.9499999999999993" customHeight="1">
      <c r="A12" s="237"/>
      <c r="B12" s="237"/>
      <c r="C12" s="22">
        <v>3</v>
      </c>
      <c r="D12" s="121"/>
      <c r="E12" s="33" t="s">
        <v>1125</v>
      </c>
      <c r="F12" s="126"/>
      <c r="G12" s="131" t="s">
        <v>1207</v>
      </c>
      <c r="H12" s="126"/>
      <c r="I12" s="132" t="s">
        <v>1248</v>
      </c>
      <c r="J12" s="129" t="s">
        <v>102</v>
      </c>
      <c r="K12" s="129">
        <v>4</v>
      </c>
      <c r="L12" s="130">
        <f t="shared" si="0"/>
        <v>4</v>
      </c>
      <c r="M12" s="18"/>
      <c r="N12" s="18"/>
      <c r="O12" s="18"/>
      <c r="P12" s="17"/>
      <c r="Q12" s="17"/>
      <c r="R12" s="17"/>
      <c r="S12" s="17"/>
    </row>
    <row r="13" spans="1:19" ht="9.9499999999999993" customHeight="1">
      <c r="A13" s="237"/>
      <c r="B13" s="237"/>
      <c r="C13" s="22">
        <v>4</v>
      </c>
      <c r="D13" s="121"/>
      <c r="E13" s="33" t="s">
        <v>1125</v>
      </c>
      <c r="F13" s="126"/>
      <c r="G13" s="133" t="s">
        <v>238</v>
      </c>
      <c r="H13" s="126"/>
      <c r="I13" s="129" t="s">
        <v>1256</v>
      </c>
      <c r="J13" s="129" t="s">
        <v>102</v>
      </c>
      <c r="K13" s="129">
        <v>6</v>
      </c>
      <c r="L13" s="130">
        <f t="shared" si="0"/>
        <v>6</v>
      </c>
      <c r="M13" s="18"/>
      <c r="N13" s="18"/>
      <c r="O13" s="18"/>
      <c r="P13" s="17"/>
      <c r="Q13" s="17"/>
      <c r="R13" s="17"/>
      <c r="S13" s="17"/>
    </row>
    <row r="14" spans="1:19" ht="9.9499999999999993" customHeight="1">
      <c r="A14" s="237"/>
      <c r="B14" s="237"/>
      <c r="C14" s="22">
        <v>5</v>
      </c>
      <c r="D14" s="121"/>
      <c r="E14" s="33" t="s">
        <v>1125</v>
      </c>
      <c r="F14" s="126"/>
      <c r="G14" s="133" t="s">
        <v>240</v>
      </c>
      <c r="H14" s="126"/>
      <c r="I14" s="129" t="s">
        <v>241</v>
      </c>
      <c r="J14" s="129" t="s">
        <v>102</v>
      </c>
      <c r="K14" s="129">
        <v>69</v>
      </c>
      <c r="L14" s="130">
        <f t="shared" si="0"/>
        <v>69</v>
      </c>
      <c r="M14" s="18"/>
      <c r="N14" s="18"/>
      <c r="O14" s="18"/>
      <c r="P14" s="17"/>
      <c r="Q14" s="17"/>
      <c r="R14" s="17"/>
      <c r="S14" s="17"/>
    </row>
    <row r="15" spans="1:19" ht="9.9499999999999993" customHeight="1">
      <c r="A15" s="237"/>
      <c r="B15" s="237"/>
      <c r="C15" s="22">
        <v>6</v>
      </c>
      <c r="D15" s="121"/>
      <c r="E15" s="33" t="s">
        <v>1125</v>
      </c>
      <c r="F15" s="126"/>
      <c r="G15" s="133" t="s">
        <v>854</v>
      </c>
      <c r="H15" s="126"/>
      <c r="I15" s="129" t="s">
        <v>855</v>
      </c>
      <c r="J15" s="129" t="s">
        <v>102</v>
      </c>
      <c r="K15" s="129">
        <v>4</v>
      </c>
      <c r="L15" s="130">
        <f t="shared" si="0"/>
        <v>4</v>
      </c>
      <c r="M15" s="18"/>
      <c r="N15" s="18"/>
      <c r="O15" s="18"/>
      <c r="P15" s="17"/>
      <c r="Q15" s="17"/>
      <c r="R15" s="17"/>
      <c r="S15" s="17"/>
    </row>
    <row r="16" spans="1:19" ht="9.9499999999999993" customHeight="1">
      <c r="A16" s="237"/>
      <c r="B16" s="237"/>
      <c r="C16" s="22">
        <v>7</v>
      </c>
      <c r="D16" s="121"/>
      <c r="E16" s="33" t="s">
        <v>1125</v>
      </c>
      <c r="F16" s="126"/>
      <c r="G16" s="133" t="s">
        <v>242</v>
      </c>
      <c r="H16" s="134"/>
      <c r="I16" s="129" t="s">
        <v>142</v>
      </c>
      <c r="J16" s="129" t="s">
        <v>1156</v>
      </c>
      <c r="K16" s="129">
        <v>6</v>
      </c>
      <c r="L16" s="130">
        <f t="shared" si="0"/>
        <v>6</v>
      </c>
      <c r="M16" s="18"/>
      <c r="N16" s="18"/>
      <c r="O16" s="18"/>
      <c r="P16" s="17"/>
      <c r="Q16" s="17"/>
      <c r="R16" s="17"/>
      <c r="S16" s="17"/>
    </row>
    <row r="17" spans="1:19" ht="9.9499999999999993" customHeight="1">
      <c r="A17" s="237"/>
      <c r="B17" s="237"/>
      <c r="C17" s="22">
        <v>8</v>
      </c>
      <c r="D17" s="121"/>
      <c r="E17" s="33" t="s">
        <v>1125</v>
      </c>
      <c r="F17" s="126"/>
      <c r="G17" s="127" t="s">
        <v>852</v>
      </c>
      <c r="H17" s="135"/>
      <c r="I17" s="128" t="s">
        <v>853</v>
      </c>
      <c r="J17" s="129" t="s">
        <v>102</v>
      </c>
      <c r="K17" s="129">
        <v>20</v>
      </c>
      <c r="L17" s="130">
        <f t="shared" si="0"/>
        <v>20</v>
      </c>
      <c r="M17" s="18"/>
      <c r="N17" s="18"/>
      <c r="O17" s="18"/>
      <c r="P17" s="17"/>
      <c r="Q17" s="17"/>
      <c r="R17" s="17"/>
      <c r="S17" s="17"/>
    </row>
    <row r="18" spans="1:19" ht="9.9499999999999993" customHeight="1">
      <c r="A18" s="237"/>
      <c r="B18" s="237"/>
      <c r="C18" s="22">
        <v>9</v>
      </c>
      <c r="D18" s="121"/>
      <c r="E18" s="45" t="s">
        <v>543</v>
      </c>
      <c r="F18" s="126"/>
      <c r="G18" s="136" t="s">
        <v>544</v>
      </c>
      <c r="H18" s="135"/>
      <c r="I18" s="132" t="s">
        <v>715</v>
      </c>
      <c r="J18" s="137" t="s">
        <v>716</v>
      </c>
      <c r="K18" s="138">
        <v>4</v>
      </c>
      <c r="L18" s="130">
        <f t="shared" si="0"/>
        <v>4</v>
      </c>
      <c r="M18" s="18"/>
      <c r="N18" s="18"/>
      <c r="O18" s="18"/>
      <c r="P18" s="17"/>
      <c r="Q18" s="17"/>
      <c r="R18" s="17"/>
      <c r="S18" s="17"/>
    </row>
    <row r="19" spans="1:19" ht="9.9499999999999993" customHeight="1">
      <c r="A19" s="237"/>
      <c r="B19" s="237"/>
      <c r="C19" s="22">
        <v>10</v>
      </c>
      <c r="D19" s="121"/>
      <c r="E19" s="50" t="s">
        <v>898</v>
      </c>
      <c r="F19" s="126"/>
      <c r="G19" s="139" t="s">
        <v>900</v>
      </c>
      <c r="H19" s="135"/>
      <c r="I19" s="140" t="s">
        <v>901</v>
      </c>
      <c r="J19" s="140" t="s">
        <v>902</v>
      </c>
      <c r="K19" s="140">
        <v>5</v>
      </c>
      <c r="L19" s="130">
        <f t="shared" si="0"/>
        <v>5</v>
      </c>
      <c r="M19" s="18"/>
      <c r="N19" s="18"/>
      <c r="O19" s="18"/>
      <c r="P19" s="17"/>
      <c r="Q19" s="17"/>
      <c r="R19" s="17"/>
      <c r="S19" s="17"/>
    </row>
    <row r="20" spans="1:19" ht="9.9499999999999993" customHeight="1">
      <c r="A20" s="237"/>
      <c r="B20" s="237"/>
      <c r="C20" s="22">
        <v>11</v>
      </c>
      <c r="D20" s="121"/>
      <c r="E20" s="33" t="s">
        <v>873</v>
      </c>
      <c r="F20" s="126"/>
      <c r="G20" s="133" t="s">
        <v>952</v>
      </c>
      <c r="H20" s="135"/>
      <c r="I20" s="138" t="s">
        <v>1243</v>
      </c>
      <c r="J20" s="129" t="s">
        <v>876</v>
      </c>
      <c r="K20" s="129">
        <v>1630</v>
      </c>
      <c r="L20" s="130">
        <f t="shared" si="0"/>
        <v>1630</v>
      </c>
      <c r="M20" s="18"/>
      <c r="N20" s="18"/>
      <c r="O20" s="18"/>
      <c r="P20" s="17"/>
      <c r="Q20" s="17"/>
      <c r="R20" s="17"/>
      <c r="S20" s="17"/>
    </row>
    <row r="21" spans="1:19" ht="9.9499999999999993" customHeight="1">
      <c r="A21" s="237"/>
      <c r="B21" s="237"/>
      <c r="C21" s="22">
        <v>12</v>
      </c>
      <c r="D21" s="121"/>
      <c r="E21" s="99" t="s">
        <v>873</v>
      </c>
      <c r="F21" s="126"/>
      <c r="G21" s="141" t="s">
        <v>953</v>
      </c>
      <c r="H21" s="135"/>
      <c r="I21" s="142" t="s">
        <v>1244</v>
      </c>
      <c r="J21" s="137" t="s">
        <v>876</v>
      </c>
      <c r="K21" s="143">
        <v>1225</v>
      </c>
      <c r="L21" s="130">
        <f t="shared" si="0"/>
        <v>1225</v>
      </c>
      <c r="M21" s="18"/>
      <c r="N21" s="18"/>
      <c r="O21" s="18"/>
      <c r="P21" s="17"/>
      <c r="Q21" s="17"/>
      <c r="R21" s="17"/>
      <c r="S21" s="17"/>
    </row>
    <row r="22" spans="1:19" ht="9.9499999999999993" customHeight="1">
      <c r="A22" s="237"/>
      <c r="B22" s="237"/>
      <c r="C22" s="22">
        <v>13</v>
      </c>
      <c r="D22" s="121"/>
      <c r="E22" s="33" t="s">
        <v>922</v>
      </c>
      <c r="F22" s="144"/>
      <c r="G22" s="127" t="s">
        <v>1160</v>
      </c>
      <c r="H22" s="145"/>
      <c r="I22" s="128" t="s">
        <v>893</v>
      </c>
      <c r="J22" s="129" t="s">
        <v>895</v>
      </c>
      <c r="K22" s="129">
        <v>68</v>
      </c>
      <c r="L22" s="130">
        <f t="shared" si="0"/>
        <v>68</v>
      </c>
      <c r="M22" s="18"/>
      <c r="N22" s="18"/>
      <c r="O22" s="18"/>
      <c r="P22" s="17"/>
      <c r="Q22" s="17"/>
      <c r="R22" s="17"/>
      <c r="S22" s="17"/>
    </row>
    <row r="23" spans="1:19" ht="9.9499999999999993" customHeight="1">
      <c r="A23" s="237"/>
      <c r="B23" s="237"/>
      <c r="C23" s="22">
        <v>14</v>
      </c>
      <c r="D23" s="121"/>
      <c r="E23" s="33" t="s">
        <v>159</v>
      </c>
      <c r="F23" s="144"/>
      <c r="G23" s="133" t="s">
        <v>161</v>
      </c>
      <c r="H23" s="145"/>
      <c r="I23" s="129" t="s">
        <v>162</v>
      </c>
      <c r="J23" s="129" t="s">
        <v>895</v>
      </c>
      <c r="K23" s="129">
        <v>2</v>
      </c>
      <c r="L23" s="130">
        <f t="shared" si="0"/>
        <v>2</v>
      </c>
      <c r="M23" s="18"/>
      <c r="N23" s="18"/>
      <c r="O23" s="18"/>
      <c r="P23" s="17"/>
      <c r="Q23" s="17"/>
      <c r="R23" s="17"/>
      <c r="S23" s="17"/>
    </row>
    <row r="24" spans="1:19" ht="9.9499999999999993" customHeight="1">
      <c r="A24" s="237"/>
      <c r="B24" s="237"/>
      <c r="C24" s="22">
        <v>15</v>
      </c>
      <c r="D24" s="121"/>
      <c r="E24" s="33" t="s">
        <v>922</v>
      </c>
      <c r="F24" s="144"/>
      <c r="G24" s="133" t="s">
        <v>250</v>
      </c>
      <c r="H24" s="146"/>
      <c r="I24" s="138" t="s">
        <v>675</v>
      </c>
      <c r="J24" s="129" t="s">
        <v>895</v>
      </c>
      <c r="K24" s="129">
        <v>6</v>
      </c>
      <c r="L24" s="130">
        <f t="shared" si="0"/>
        <v>6</v>
      </c>
      <c r="M24" s="18"/>
      <c r="N24" s="18"/>
      <c r="O24" s="18"/>
      <c r="P24" s="17"/>
      <c r="Q24" s="17"/>
      <c r="R24" s="17"/>
      <c r="S24" s="17"/>
    </row>
    <row r="25" spans="1:19" ht="9.9499999999999993" customHeight="1">
      <c r="A25" s="237"/>
      <c r="B25" s="237"/>
      <c r="C25" s="22">
        <v>16</v>
      </c>
      <c r="D25" s="121"/>
      <c r="E25" s="33" t="s">
        <v>922</v>
      </c>
      <c r="F25" s="144"/>
      <c r="G25" s="131" t="s">
        <v>1161</v>
      </c>
      <c r="H25" s="146"/>
      <c r="I25" s="129" t="s">
        <v>913</v>
      </c>
      <c r="J25" s="129" t="s">
        <v>895</v>
      </c>
      <c r="K25" s="129">
        <v>52</v>
      </c>
      <c r="L25" s="130">
        <f t="shared" si="0"/>
        <v>52</v>
      </c>
      <c r="M25" s="18"/>
      <c r="N25" s="18"/>
      <c r="O25" s="18"/>
      <c r="P25" s="17"/>
      <c r="Q25" s="17"/>
      <c r="R25" s="17"/>
      <c r="S25" s="17"/>
    </row>
    <row r="26" spans="1:19" ht="9.9499999999999993" customHeight="1">
      <c r="A26" s="237"/>
      <c r="B26" s="237"/>
      <c r="C26" s="22">
        <v>17</v>
      </c>
      <c r="D26" s="121"/>
      <c r="E26" s="33" t="s">
        <v>922</v>
      </c>
      <c r="F26" s="144"/>
      <c r="G26" s="131" t="s">
        <v>154</v>
      </c>
      <c r="H26" s="146"/>
      <c r="I26" s="129" t="s">
        <v>155</v>
      </c>
      <c r="J26" s="129" t="s">
        <v>895</v>
      </c>
      <c r="K26" s="129">
        <v>2</v>
      </c>
      <c r="L26" s="130">
        <f t="shared" si="0"/>
        <v>2</v>
      </c>
      <c r="M26" s="18"/>
      <c r="N26" s="18"/>
      <c r="O26" s="18"/>
      <c r="P26" s="17"/>
      <c r="Q26" s="17"/>
      <c r="R26" s="17"/>
      <c r="S26" s="17"/>
    </row>
    <row r="27" spans="1:19" ht="9.9499999999999993" customHeight="1">
      <c r="A27" s="237"/>
      <c r="B27" s="237"/>
      <c r="C27" s="22">
        <v>18</v>
      </c>
      <c r="D27" s="121"/>
      <c r="E27" s="108" t="s">
        <v>922</v>
      </c>
      <c r="F27" s="147"/>
      <c r="G27" s="131" t="s">
        <v>98</v>
      </c>
      <c r="H27" s="148"/>
      <c r="I27" s="149" t="s">
        <v>93</v>
      </c>
      <c r="J27" s="149" t="s">
        <v>895</v>
      </c>
      <c r="K27" s="149">
        <v>8</v>
      </c>
      <c r="L27" s="130">
        <f t="shared" si="0"/>
        <v>8</v>
      </c>
      <c r="M27" s="18"/>
      <c r="N27" s="18"/>
      <c r="O27" s="18"/>
      <c r="P27" s="17"/>
      <c r="Q27" s="17"/>
      <c r="R27" s="17"/>
      <c r="S27" s="17"/>
    </row>
    <row r="28" spans="1:19" ht="9.9499999999999993" customHeight="1">
      <c r="A28" s="237"/>
      <c r="B28" s="237"/>
      <c r="C28" s="22">
        <v>19</v>
      </c>
      <c r="D28" s="121"/>
      <c r="E28" s="108" t="s">
        <v>922</v>
      </c>
      <c r="F28" s="150"/>
      <c r="G28" s="131" t="s">
        <v>13</v>
      </c>
      <c r="H28" s="151"/>
      <c r="I28" s="149" t="s">
        <v>909</v>
      </c>
      <c r="J28" s="149" t="s">
        <v>895</v>
      </c>
      <c r="K28" s="149">
        <v>60</v>
      </c>
      <c r="L28" s="130">
        <f t="shared" si="0"/>
        <v>60</v>
      </c>
      <c r="M28" s="18"/>
      <c r="N28" s="18"/>
      <c r="O28" s="18"/>
      <c r="P28" s="17"/>
      <c r="Q28" s="17"/>
      <c r="R28" s="17"/>
      <c r="S28" s="17"/>
    </row>
    <row r="29" spans="1:19" ht="9.9499999999999993" customHeight="1">
      <c r="A29" s="237"/>
      <c r="B29" s="237"/>
      <c r="C29" s="22">
        <v>20</v>
      </c>
      <c r="D29" s="121"/>
      <c r="E29" s="33" t="s">
        <v>922</v>
      </c>
      <c r="F29" s="135"/>
      <c r="G29" s="133" t="s">
        <v>151</v>
      </c>
      <c r="H29" s="152"/>
      <c r="I29" s="138" t="s">
        <v>152</v>
      </c>
      <c r="J29" s="129" t="s">
        <v>895</v>
      </c>
      <c r="K29" s="129">
        <v>14</v>
      </c>
      <c r="L29" s="130">
        <f t="shared" si="0"/>
        <v>14</v>
      </c>
      <c r="M29" s="18"/>
      <c r="N29" s="18"/>
      <c r="O29" s="18"/>
      <c r="P29" s="17"/>
      <c r="Q29" s="17"/>
      <c r="R29" s="17"/>
      <c r="S29" s="17"/>
    </row>
    <row r="30" spans="1:19" ht="9.9499999999999993" customHeight="1">
      <c r="A30" s="237"/>
      <c r="B30" s="237"/>
      <c r="C30" s="22">
        <v>21</v>
      </c>
      <c r="D30" s="121"/>
      <c r="E30" s="33" t="s">
        <v>890</v>
      </c>
      <c r="F30" s="135"/>
      <c r="G30" s="133" t="s">
        <v>1162</v>
      </c>
      <c r="H30" s="152"/>
      <c r="I30" s="138" t="s">
        <v>919</v>
      </c>
      <c r="J30" s="153" t="s">
        <v>895</v>
      </c>
      <c r="K30" s="129">
        <v>87</v>
      </c>
      <c r="L30" s="130">
        <f t="shared" si="0"/>
        <v>87</v>
      </c>
      <c r="M30" s="18"/>
      <c r="N30" s="18"/>
      <c r="O30" s="18"/>
      <c r="P30" s="17"/>
      <c r="Q30" s="17"/>
      <c r="R30" s="17"/>
      <c r="S30" s="17"/>
    </row>
    <row r="31" spans="1:19" ht="9.9499999999999993" customHeight="1">
      <c r="A31" s="237"/>
      <c r="B31" s="237"/>
      <c r="C31" s="22">
        <v>22</v>
      </c>
      <c r="D31" s="121"/>
      <c r="E31" s="33" t="s">
        <v>890</v>
      </c>
      <c r="F31" s="135"/>
      <c r="G31" s="133" t="s">
        <v>1163</v>
      </c>
      <c r="H31" s="152"/>
      <c r="I31" s="138" t="s">
        <v>892</v>
      </c>
      <c r="J31" s="129" t="s">
        <v>895</v>
      </c>
      <c r="K31" s="129">
        <v>44</v>
      </c>
      <c r="L31" s="130">
        <f t="shared" si="0"/>
        <v>44</v>
      </c>
      <c r="M31" s="18"/>
      <c r="N31" s="18"/>
      <c r="O31" s="18"/>
      <c r="P31" s="17"/>
      <c r="Q31" s="17"/>
      <c r="R31" s="17"/>
      <c r="S31" s="17"/>
    </row>
    <row r="32" spans="1:19" ht="9.9499999999999993" customHeight="1">
      <c r="A32" s="237"/>
      <c r="B32" s="237"/>
      <c r="C32" s="22">
        <v>23</v>
      </c>
      <c r="D32" s="121"/>
      <c r="E32" s="108" t="s">
        <v>890</v>
      </c>
      <c r="F32" s="135"/>
      <c r="G32" s="131" t="s">
        <v>146</v>
      </c>
      <c r="H32" s="152"/>
      <c r="I32" s="149" t="s">
        <v>147</v>
      </c>
      <c r="J32" s="153" t="s">
        <v>895</v>
      </c>
      <c r="K32" s="149">
        <v>3</v>
      </c>
      <c r="L32" s="130">
        <f t="shared" si="0"/>
        <v>3</v>
      </c>
      <c r="M32" s="18"/>
      <c r="N32" s="18"/>
      <c r="O32" s="18"/>
      <c r="P32" s="17"/>
      <c r="Q32" s="17"/>
      <c r="R32" s="17"/>
      <c r="S32" s="17"/>
    </row>
    <row r="33" spans="1:19" ht="9.9499999999999993" customHeight="1">
      <c r="A33" s="237"/>
      <c r="B33" s="237"/>
      <c r="C33" s="22">
        <v>24</v>
      </c>
      <c r="D33" s="121"/>
      <c r="E33" s="108" t="s">
        <v>904</v>
      </c>
      <c r="F33" s="154"/>
      <c r="G33" s="131" t="s">
        <v>921</v>
      </c>
      <c r="H33" s="152"/>
      <c r="I33" s="149" t="s">
        <v>905</v>
      </c>
      <c r="J33" s="153" t="s">
        <v>895</v>
      </c>
      <c r="K33" s="149">
        <v>3</v>
      </c>
      <c r="L33" s="130">
        <f t="shared" si="0"/>
        <v>3</v>
      </c>
      <c r="M33" s="18"/>
      <c r="N33" s="18"/>
      <c r="O33" s="18"/>
      <c r="P33" s="17"/>
      <c r="Q33" s="17"/>
      <c r="R33" s="17"/>
      <c r="S33" s="17"/>
    </row>
    <row r="34" spans="1:19" ht="9.9499999999999993" customHeight="1">
      <c r="A34" s="237"/>
      <c r="B34" s="237"/>
      <c r="C34" s="22">
        <v>25</v>
      </c>
      <c r="D34" s="121"/>
      <c r="E34" s="72" t="s">
        <v>890</v>
      </c>
      <c r="F34" s="155"/>
      <c r="G34" s="156" t="s">
        <v>10</v>
      </c>
      <c r="H34" s="152"/>
      <c r="I34" s="157" t="s">
        <v>908</v>
      </c>
      <c r="J34" s="157" t="s">
        <v>895</v>
      </c>
      <c r="K34" s="143">
        <v>29</v>
      </c>
      <c r="L34" s="130">
        <f t="shared" si="0"/>
        <v>29</v>
      </c>
      <c r="M34" s="18"/>
      <c r="N34" s="18"/>
      <c r="O34" s="18"/>
      <c r="P34" s="17"/>
      <c r="Q34" s="17"/>
      <c r="R34" s="17"/>
      <c r="S34" s="17"/>
    </row>
    <row r="35" spans="1:19" ht="9.9499999999999993" customHeight="1">
      <c r="A35" s="237"/>
      <c r="B35" s="237"/>
      <c r="C35" s="22">
        <v>26</v>
      </c>
      <c r="D35" s="121"/>
      <c r="E35" s="67" t="s">
        <v>890</v>
      </c>
      <c r="F35" s="144"/>
      <c r="G35" s="158" t="s">
        <v>1165</v>
      </c>
      <c r="H35" s="145"/>
      <c r="I35" s="159" t="s">
        <v>891</v>
      </c>
      <c r="J35" s="160" t="s">
        <v>895</v>
      </c>
      <c r="K35" s="160">
        <v>6</v>
      </c>
      <c r="L35" s="130">
        <f t="shared" si="0"/>
        <v>6</v>
      </c>
      <c r="M35" s="18"/>
      <c r="N35" s="18"/>
      <c r="O35" s="18"/>
      <c r="P35" s="17"/>
      <c r="Q35" s="17"/>
      <c r="R35" s="17"/>
      <c r="S35" s="17"/>
    </row>
    <row r="36" spans="1:19" ht="9.9499999999999993" customHeight="1">
      <c r="A36" s="237"/>
      <c r="B36" s="237"/>
      <c r="C36" s="22">
        <v>27</v>
      </c>
      <c r="D36" s="121"/>
      <c r="E36" s="67" t="s">
        <v>890</v>
      </c>
      <c r="F36" s="161"/>
      <c r="G36" s="158" t="s">
        <v>12</v>
      </c>
      <c r="H36" s="161"/>
      <c r="I36" s="159" t="s">
        <v>907</v>
      </c>
      <c r="J36" s="160" t="s">
        <v>895</v>
      </c>
      <c r="K36" s="160">
        <v>142</v>
      </c>
      <c r="L36" s="130">
        <f t="shared" si="0"/>
        <v>142</v>
      </c>
      <c r="M36" s="18"/>
      <c r="N36" s="18"/>
      <c r="O36" s="18"/>
      <c r="P36" s="17"/>
      <c r="Q36" s="17"/>
      <c r="R36" s="17"/>
      <c r="S36" s="17"/>
    </row>
    <row r="37" spans="1:19" ht="9.9499999999999993" customHeight="1">
      <c r="A37" s="237"/>
      <c r="B37" s="237"/>
      <c r="C37" s="22">
        <v>28</v>
      </c>
      <c r="D37" s="121"/>
      <c r="E37" s="108" t="s">
        <v>890</v>
      </c>
      <c r="F37" s="161"/>
      <c r="G37" s="131" t="s">
        <v>11</v>
      </c>
      <c r="H37" s="161"/>
      <c r="I37" s="149" t="s">
        <v>906</v>
      </c>
      <c r="J37" s="153" t="s">
        <v>895</v>
      </c>
      <c r="K37" s="149">
        <v>18</v>
      </c>
      <c r="L37" s="130">
        <f t="shared" si="0"/>
        <v>18</v>
      </c>
      <c r="M37" s="18"/>
      <c r="N37" s="18"/>
      <c r="O37" s="18"/>
      <c r="P37" s="17"/>
      <c r="Q37" s="17"/>
      <c r="R37" s="17"/>
      <c r="S37" s="17"/>
    </row>
    <row r="38" spans="1:19" ht="9.9499999999999993" customHeight="1">
      <c r="A38" s="237"/>
      <c r="B38" s="237"/>
      <c r="C38" s="22">
        <v>29</v>
      </c>
      <c r="D38" s="121"/>
      <c r="E38" s="108" t="s">
        <v>897</v>
      </c>
      <c r="F38" s="161"/>
      <c r="G38" s="131" t="s">
        <v>1167</v>
      </c>
      <c r="H38" s="161"/>
      <c r="I38" s="149" t="s">
        <v>903</v>
      </c>
      <c r="J38" s="153" t="s">
        <v>895</v>
      </c>
      <c r="K38" s="149">
        <v>12</v>
      </c>
      <c r="L38" s="130">
        <f t="shared" si="0"/>
        <v>12</v>
      </c>
      <c r="M38" s="18"/>
      <c r="N38" s="18"/>
      <c r="O38" s="18"/>
      <c r="P38" s="17"/>
      <c r="Q38" s="17"/>
      <c r="R38" s="17"/>
      <c r="S38" s="17"/>
    </row>
    <row r="39" spans="1:19" ht="9.9499999999999993" customHeight="1">
      <c r="A39" s="237"/>
      <c r="B39" s="237"/>
      <c r="C39" s="22">
        <v>30</v>
      </c>
      <c r="D39" s="121"/>
      <c r="E39" s="33" t="s">
        <v>1168</v>
      </c>
      <c r="F39" s="161"/>
      <c r="G39" s="133" t="s">
        <v>995</v>
      </c>
      <c r="H39" s="161"/>
      <c r="I39" s="138" t="s">
        <v>996</v>
      </c>
      <c r="J39" s="153" t="s">
        <v>895</v>
      </c>
      <c r="K39" s="129">
        <v>6</v>
      </c>
      <c r="L39" s="130">
        <f t="shared" si="0"/>
        <v>6</v>
      </c>
      <c r="M39" s="18"/>
      <c r="N39" s="18"/>
      <c r="O39" s="18"/>
      <c r="P39" s="17"/>
      <c r="Q39" s="17"/>
      <c r="R39" s="17"/>
      <c r="S39" s="17"/>
    </row>
    <row r="40" spans="1:19" ht="9.9499999999999993" customHeight="1">
      <c r="A40" s="237"/>
      <c r="B40" s="237"/>
      <c r="C40" s="22">
        <v>31</v>
      </c>
      <c r="D40" s="121"/>
      <c r="E40" s="33" t="s">
        <v>681</v>
      </c>
      <c r="F40" s="144"/>
      <c r="G40" s="127" t="s">
        <v>601</v>
      </c>
      <c r="H40" s="145"/>
      <c r="I40" s="128" t="s">
        <v>602</v>
      </c>
      <c r="J40" s="129" t="s">
        <v>60</v>
      </c>
      <c r="K40" s="129">
        <v>1</v>
      </c>
      <c r="L40" s="130">
        <f t="shared" si="0"/>
        <v>1</v>
      </c>
      <c r="M40" s="18"/>
      <c r="N40" s="18"/>
      <c r="O40" s="18"/>
      <c r="P40" s="17"/>
      <c r="Q40" s="17"/>
      <c r="R40" s="17"/>
      <c r="S40" s="17"/>
    </row>
    <row r="41" spans="1:19" ht="9.9499999999999993" customHeight="1">
      <c r="A41" s="237"/>
      <c r="B41" s="237"/>
      <c r="C41" s="22">
        <v>32</v>
      </c>
      <c r="D41" s="121"/>
      <c r="E41" s="33" t="s">
        <v>681</v>
      </c>
      <c r="F41" s="144"/>
      <c r="G41" s="127" t="s">
        <v>603</v>
      </c>
      <c r="H41" s="145"/>
      <c r="I41" s="128" t="s">
        <v>604</v>
      </c>
      <c r="J41" s="129" t="s">
        <v>60</v>
      </c>
      <c r="K41" s="129">
        <v>1</v>
      </c>
      <c r="L41" s="130">
        <f t="shared" si="0"/>
        <v>1</v>
      </c>
      <c r="M41" s="18"/>
      <c r="N41" s="18"/>
      <c r="O41" s="18"/>
      <c r="P41" s="17"/>
      <c r="Q41" s="17"/>
      <c r="R41" s="17"/>
      <c r="S41" s="17"/>
    </row>
    <row r="42" spans="1:19" ht="9.9499999999999993" customHeight="1">
      <c r="A42" s="237"/>
      <c r="B42" s="237"/>
      <c r="C42" s="22">
        <v>33</v>
      </c>
      <c r="D42" s="121"/>
      <c r="E42" s="33" t="s">
        <v>680</v>
      </c>
      <c r="F42" s="144"/>
      <c r="G42" s="127" t="s">
        <v>596</v>
      </c>
      <c r="H42" s="145"/>
      <c r="I42" s="128" t="s">
        <v>597</v>
      </c>
      <c r="J42" s="129" t="s">
        <v>60</v>
      </c>
      <c r="K42" s="129">
        <v>2</v>
      </c>
      <c r="L42" s="130">
        <f t="shared" ref="L42:L59" si="1">K42*$K$5</f>
        <v>2</v>
      </c>
      <c r="M42" s="18"/>
      <c r="N42" s="18"/>
      <c r="O42" s="18"/>
      <c r="P42" s="17"/>
      <c r="Q42" s="17"/>
      <c r="R42" s="17"/>
      <c r="S42" s="17"/>
    </row>
    <row r="43" spans="1:19" ht="9.9499999999999993" customHeight="1">
      <c r="A43" s="237"/>
      <c r="B43" s="237"/>
      <c r="C43" s="22">
        <v>34</v>
      </c>
      <c r="D43" s="121"/>
      <c r="E43" s="33" t="s">
        <v>680</v>
      </c>
      <c r="F43" s="144"/>
      <c r="G43" s="127" t="s">
        <v>599</v>
      </c>
      <c r="H43" s="145"/>
      <c r="I43" s="128" t="s">
        <v>600</v>
      </c>
      <c r="J43" s="129" t="s">
        <v>60</v>
      </c>
      <c r="K43" s="129">
        <v>2</v>
      </c>
      <c r="L43" s="130">
        <f t="shared" si="1"/>
        <v>2</v>
      </c>
      <c r="M43" s="18"/>
      <c r="N43" s="18"/>
      <c r="O43" s="18"/>
      <c r="P43" s="17"/>
      <c r="Q43" s="17"/>
      <c r="R43" s="17"/>
      <c r="S43" s="17"/>
    </row>
    <row r="44" spans="1:19" ht="9.9499999999999993" customHeight="1">
      <c r="A44" s="237"/>
      <c r="B44" s="237"/>
      <c r="C44" s="22">
        <v>35</v>
      </c>
      <c r="D44" s="121"/>
      <c r="E44" s="33" t="s">
        <v>922</v>
      </c>
      <c r="F44" s="144"/>
      <c r="G44" s="133" t="s">
        <v>257</v>
      </c>
      <c r="H44" s="145"/>
      <c r="I44" s="138" t="s">
        <v>734</v>
      </c>
      <c r="J44" s="153" t="s">
        <v>60</v>
      </c>
      <c r="K44" s="129">
        <v>3</v>
      </c>
      <c r="L44" s="130">
        <f t="shared" si="1"/>
        <v>3</v>
      </c>
      <c r="M44" s="18"/>
      <c r="N44" s="18"/>
      <c r="O44" s="18"/>
      <c r="P44" s="17"/>
      <c r="Q44" s="17"/>
      <c r="R44" s="17"/>
      <c r="S44" s="17"/>
    </row>
    <row r="45" spans="1:19" ht="9.9499999999999993" customHeight="1">
      <c r="A45" s="237"/>
      <c r="B45" s="237"/>
      <c r="C45" s="22">
        <v>36</v>
      </c>
      <c r="D45" s="121"/>
      <c r="E45" s="33" t="s">
        <v>922</v>
      </c>
      <c r="F45" s="144"/>
      <c r="G45" s="127" t="s">
        <v>735</v>
      </c>
      <c r="H45" s="145"/>
      <c r="I45" s="132" t="s">
        <v>736</v>
      </c>
      <c r="J45" s="129" t="s">
        <v>60</v>
      </c>
      <c r="K45" s="129">
        <v>6</v>
      </c>
      <c r="L45" s="130">
        <f t="shared" si="1"/>
        <v>6</v>
      </c>
      <c r="M45" s="18"/>
      <c r="N45" s="18"/>
      <c r="O45" s="18"/>
      <c r="P45" s="17"/>
      <c r="Q45" s="17"/>
      <c r="R45" s="17"/>
      <c r="S45" s="17"/>
    </row>
    <row r="46" spans="1:19" ht="9.9499999999999993" customHeight="1">
      <c r="A46" s="237"/>
      <c r="B46" s="237"/>
      <c r="C46" s="22">
        <v>37</v>
      </c>
      <c r="D46" s="121"/>
      <c r="E46" s="67" t="s">
        <v>890</v>
      </c>
      <c r="F46" s="144"/>
      <c r="G46" s="158" t="s">
        <v>260</v>
      </c>
      <c r="H46" s="145"/>
      <c r="I46" s="159" t="s">
        <v>737</v>
      </c>
      <c r="J46" s="160" t="s">
        <v>60</v>
      </c>
      <c r="K46" s="140">
        <v>21</v>
      </c>
      <c r="L46" s="130">
        <f t="shared" si="1"/>
        <v>21</v>
      </c>
      <c r="M46" s="18"/>
      <c r="N46" s="18"/>
      <c r="O46" s="18"/>
      <c r="P46" s="17"/>
      <c r="Q46" s="17"/>
      <c r="R46" s="17"/>
      <c r="S46" s="17"/>
    </row>
    <row r="47" spans="1:19" ht="9.9499999999999993" customHeight="1">
      <c r="A47" s="237"/>
      <c r="B47" s="237"/>
      <c r="C47" s="22">
        <v>38</v>
      </c>
      <c r="D47" s="121"/>
      <c r="E47" s="33" t="s">
        <v>243</v>
      </c>
      <c r="F47" s="161"/>
      <c r="G47" s="127" t="s">
        <v>244</v>
      </c>
      <c r="H47" s="161"/>
      <c r="I47" s="132" t="s">
        <v>740</v>
      </c>
      <c r="J47" s="129" t="s">
        <v>245</v>
      </c>
      <c r="K47" s="129">
        <v>75</v>
      </c>
      <c r="L47" s="130">
        <f t="shared" si="1"/>
        <v>75</v>
      </c>
      <c r="M47" s="18"/>
      <c r="N47" s="18"/>
      <c r="O47" s="18"/>
      <c r="P47" s="17"/>
      <c r="Q47" s="17"/>
      <c r="R47" s="17"/>
      <c r="S47" s="17"/>
    </row>
    <row r="48" spans="1:19" ht="9.9499999999999993" customHeight="1">
      <c r="A48" s="237"/>
      <c r="B48" s="237"/>
      <c r="C48" s="22">
        <v>39</v>
      </c>
      <c r="D48" s="121"/>
      <c r="E48" s="33" t="s">
        <v>246</v>
      </c>
      <c r="F48" s="161"/>
      <c r="G48" s="127" t="s">
        <v>247</v>
      </c>
      <c r="H48" s="161"/>
      <c r="I48" s="128" t="s">
        <v>1219</v>
      </c>
      <c r="J48" s="129" t="s">
        <v>62</v>
      </c>
      <c r="K48" s="129">
        <v>3</v>
      </c>
      <c r="L48" s="130">
        <f t="shared" si="1"/>
        <v>3</v>
      </c>
      <c r="M48" s="18"/>
      <c r="N48" s="18"/>
      <c r="O48" s="18"/>
      <c r="P48" s="17"/>
      <c r="Q48" s="17"/>
      <c r="R48" s="17"/>
      <c r="S48" s="17"/>
    </row>
    <row r="49" spans="1:19" ht="9.9499999999999993" customHeight="1">
      <c r="A49" s="237"/>
      <c r="B49" s="237"/>
      <c r="C49" s="22">
        <v>40</v>
      </c>
      <c r="D49" s="121"/>
      <c r="E49" s="33" t="s">
        <v>920</v>
      </c>
      <c r="F49" s="161"/>
      <c r="G49" s="133" t="s">
        <v>14</v>
      </c>
      <c r="H49" s="161"/>
      <c r="I49" s="138" t="s">
        <v>15</v>
      </c>
      <c r="J49" s="153" t="s">
        <v>1126</v>
      </c>
      <c r="K49" s="129">
        <v>16</v>
      </c>
      <c r="L49" s="130">
        <f t="shared" si="1"/>
        <v>16</v>
      </c>
      <c r="M49" s="18"/>
      <c r="N49" s="18"/>
      <c r="O49" s="18"/>
      <c r="P49" s="17"/>
      <c r="Q49" s="17"/>
      <c r="R49" s="17"/>
      <c r="S49" s="17"/>
    </row>
    <row r="50" spans="1:19" ht="9.9499999999999993" customHeight="1">
      <c r="A50" s="237"/>
      <c r="B50" s="237"/>
      <c r="C50" s="22">
        <v>41</v>
      </c>
      <c r="D50" s="122"/>
      <c r="E50" s="33" t="s">
        <v>1223</v>
      </c>
      <c r="F50" s="161"/>
      <c r="G50" s="133" t="s">
        <v>998</v>
      </c>
      <c r="H50" s="161"/>
      <c r="I50" s="138" t="s">
        <v>999</v>
      </c>
      <c r="J50" s="129" t="s">
        <v>1126</v>
      </c>
      <c r="K50" s="129">
        <v>20</v>
      </c>
      <c r="L50" s="130">
        <f t="shared" si="1"/>
        <v>20</v>
      </c>
      <c r="M50" s="18"/>
      <c r="N50" s="18"/>
      <c r="O50" s="18"/>
      <c r="P50" s="17"/>
      <c r="Q50" s="17"/>
      <c r="R50" s="17"/>
      <c r="S50" s="17"/>
    </row>
    <row r="51" spans="1:19" ht="9.9499999999999993" customHeight="1">
      <c r="A51" s="237"/>
      <c r="B51" s="237"/>
      <c r="C51" s="22">
        <v>42</v>
      </c>
      <c r="D51" s="121"/>
      <c r="E51" s="33" t="s">
        <v>1223</v>
      </c>
      <c r="F51" s="161"/>
      <c r="G51" s="133" t="s">
        <v>923</v>
      </c>
      <c r="H51" s="161"/>
      <c r="I51" s="138" t="s">
        <v>894</v>
      </c>
      <c r="J51" s="129" t="s">
        <v>1126</v>
      </c>
      <c r="K51" s="129">
        <v>192</v>
      </c>
      <c r="L51" s="130">
        <f t="shared" si="1"/>
        <v>192</v>
      </c>
      <c r="M51" s="18"/>
      <c r="N51" s="18"/>
      <c r="O51" s="18"/>
      <c r="P51" s="17"/>
      <c r="Q51" s="17"/>
      <c r="R51" s="17"/>
      <c r="S51" s="17"/>
    </row>
    <row r="52" spans="1:19" ht="9.9499999999999993" customHeight="1">
      <c r="A52" s="237"/>
      <c r="B52" s="237"/>
      <c r="C52" s="22">
        <v>43</v>
      </c>
      <c r="D52" s="121"/>
      <c r="E52" s="67" t="s">
        <v>1223</v>
      </c>
      <c r="F52" s="144"/>
      <c r="G52" s="158" t="s">
        <v>605</v>
      </c>
      <c r="H52" s="145"/>
      <c r="I52" s="159" t="s">
        <v>684</v>
      </c>
      <c r="J52" s="160" t="s">
        <v>1126</v>
      </c>
      <c r="K52" s="160">
        <v>7</v>
      </c>
      <c r="L52" s="130">
        <f t="shared" si="1"/>
        <v>7</v>
      </c>
      <c r="M52" s="18"/>
      <c r="N52" s="18"/>
      <c r="O52" s="18"/>
      <c r="P52" s="17"/>
      <c r="Q52" s="17"/>
      <c r="R52" s="17"/>
      <c r="S52" s="17"/>
    </row>
    <row r="53" spans="1:19" ht="9.9499999999999993" customHeight="1">
      <c r="A53" s="237"/>
      <c r="B53" s="237"/>
      <c r="C53" s="22">
        <v>44</v>
      </c>
      <c r="D53" s="121"/>
      <c r="E53" s="67" t="s">
        <v>1223</v>
      </c>
      <c r="F53" s="144"/>
      <c r="G53" s="158" t="s">
        <v>16</v>
      </c>
      <c r="H53" s="145"/>
      <c r="I53" s="159" t="s">
        <v>914</v>
      </c>
      <c r="J53" s="160" t="s">
        <v>1126</v>
      </c>
      <c r="K53" s="160">
        <v>128</v>
      </c>
      <c r="L53" s="130">
        <f t="shared" si="1"/>
        <v>128</v>
      </c>
      <c r="M53" s="18"/>
      <c r="N53" s="18"/>
      <c r="O53" s="18"/>
      <c r="P53" s="17"/>
      <c r="Q53" s="17"/>
      <c r="R53" s="17"/>
      <c r="S53" s="17"/>
    </row>
    <row r="54" spans="1:19" ht="9.9499999999999993" customHeight="1">
      <c r="A54" s="237"/>
      <c r="B54" s="237"/>
      <c r="C54" s="22">
        <v>45</v>
      </c>
      <c r="D54" s="121"/>
      <c r="E54" s="108" t="s">
        <v>1223</v>
      </c>
      <c r="F54" s="161"/>
      <c r="G54" s="131" t="s">
        <v>157</v>
      </c>
      <c r="H54" s="161"/>
      <c r="I54" s="162" t="s">
        <v>158</v>
      </c>
      <c r="J54" s="149" t="s">
        <v>1126</v>
      </c>
      <c r="K54" s="149">
        <v>2</v>
      </c>
      <c r="L54" s="130">
        <f t="shared" si="1"/>
        <v>2</v>
      </c>
      <c r="M54" s="18"/>
      <c r="N54" s="18"/>
      <c r="O54" s="18"/>
      <c r="P54" s="17"/>
      <c r="Q54" s="17"/>
      <c r="R54" s="17"/>
      <c r="S54" s="17"/>
    </row>
    <row r="55" spans="1:19" ht="9.9499999999999993" customHeight="1">
      <c r="A55" s="237"/>
      <c r="B55" s="237"/>
      <c r="C55" s="22">
        <v>46</v>
      </c>
      <c r="D55" s="121"/>
      <c r="E55" s="108" t="s">
        <v>1223</v>
      </c>
      <c r="F55" s="161"/>
      <c r="G55" s="131" t="s">
        <v>255</v>
      </c>
      <c r="H55" s="161"/>
      <c r="I55" s="162" t="s">
        <v>745</v>
      </c>
      <c r="J55" s="149" t="s">
        <v>1126</v>
      </c>
      <c r="K55" s="149">
        <v>18</v>
      </c>
      <c r="L55" s="130">
        <f t="shared" si="1"/>
        <v>18</v>
      </c>
      <c r="M55" s="18"/>
      <c r="N55" s="18"/>
      <c r="O55" s="18"/>
      <c r="P55" s="17"/>
      <c r="Q55" s="17"/>
      <c r="R55" s="17"/>
      <c r="S55" s="17"/>
    </row>
    <row r="56" spans="1:19" ht="9.9499999999999993" customHeight="1">
      <c r="A56" s="237"/>
      <c r="B56" s="237"/>
      <c r="C56" s="22">
        <v>47</v>
      </c>
      <c r="D56" s="121"/>
      <c r="E56" s="33" t="s">
        <v>917</v>
      </c>
      <c r="F56" s="144"/>
      <c r="G56" s="127" t="s">
        <v>845</v>
      </c>
      <c r="H56" s="145"/>
      <c r="I56" s="128" t="s">
        <v>846</v>
      </c>
      <c r="J56" s="129" t="s">
        <v>918</v>
      </c>
      <c r="K56" s="129">
        <v>40</v>
      </c>
      <c r="L56" s="130">
        <f t="shared" si="1"/>
        <v>40</v>
      </c>
      <c r="M56" s="18"/>
      <c r="N56" s="18"/>
      <c r="O56" s="18"/>
      <c r="P56" s="17"/>
      <c r="Q56" s="17"/>
      <c r="R56" s="17"/>
      <c r="S56" s="17"/>
    </row>
    <row r="57" spans="1:19" ht="9.9499999999999993" customHeight="1">
      <c r="A57" s="237"/>
      <c r="B57" s="237"/>
      <c r="C57" s="22">
        <v>48</v>
      </c>
      <c r="D57" s="121"/>
      <c r="E57" s="67" t="s">
        <v>922</v>
      </c>
      <c r="F57" s="144"/>
      <c r="G57" s="158" t="s">
        <v>732</v>
      </c>
      <c r="H57" s="145"/>
      <c r="I57" s="159" t="s">
        <v>733</v>
      </c>
      <c r="J57" s="160" t="s">
        <v>895</v>
      </c>
      <c r="K57" s="140">
        <v>3</v>
      </c>
      <c r="L57" s="130">
        <f t="shared" si="1"/>
        <v>3</v>
      </c>
      <c r="M57" s="18"/>
      <c r="N57" s="18"/>
      <c r="O57" s="18"/>
      <c r="P57" s="17"/>
      <c r="Q57" s="17"/>
      <c r="R57" s="17"/>
      <c r="S57" s="17"/>
    </row>
    <row r="58" spans="1:19" ht="9.9499999999999993" customHeight="1">
      <c r="A58" s="237"/>
      <c r="B58" s="237"/>
      <c r="C58" s="22">
        <v>49</v>
      </c>
      <c r="D58" s="121"/>
      <c r="E58" s="33" t="s">
        <v>682</v>
      </c>
      <c r="F58" s="144"/>
      <c r="G58" s="131" t="s">
        <v>262</v>
      </c>
      <c r="H58" s="145"/>
      <c r="I58" s="129" t="s">
        <v>263</v>
      </c>
      <c r="J58" s="129" t="s">
        <v>683</v>
      </c>
      <c r="K58" s="129">
        <v>2</v>
      </c>
      <c r="L58" s="130">
        <f t="shared" si="1"/>
        <v>2</v>
      </c>
      <c r="M58" s="18"/>
      <c r="N58" s="18"/>
      <c r="O58" s="18"/>
      <c r="P58" s="17"/>
      <c r="Q58" s="17"/>
      <c r="R58" s="17"/>
      <c r="S58" s="17"/>
    </row>
    <row r="59" spans="1:19" ht="9.9499999999999993" customHeight="1">
      <c r="A59" s="237"/>
      <c r="B59" s="237"/>
      <c r="C59" s="22">
        <v>50</v>
      </c>
      <c r="D59" s="121"/>
      <c r="E59" s="70" t="s">
        <v>682</v>
      </c>
      <c r="F59" s="161"/>
      <c r="G59" s="163" t="s">
        <v>553</v>
      </c>
      <c r="H59" s="161"/>
      <c r="I59" s="138" t="s">
        <v>553</v>
      </c>
      <c r="J59" s="137" t="s">
        <v>683</v>
      </c>
      <c r="K59" s="138">
        <v>2</v>
      </c>
      <c r="L59" s="130">
        <f t="shared" si="1"/>
        <v>2</v>
      </c>
      <c r="M59" s="18"/>
      <c r="N59" s="18"/>
      <c r="O59" s="18"/>
      <c r="P59" s="17"/>
      <c r="Q59" s="17"/>
      <c r="R59" s="17"/>
      <c r="S59" s="17"/>
    </row>
    <row r="60" spans="1:19" ht="9.9499999999999993" customHeight="1">
      <c r="A60" s="237"/>
      <c r="B60" s="237"/>
      <c r="C60" s="22">
        <v>51</v>
      </c>
      <c r="D60" s="121"/>
      <c r="E60" s="70" t="s">
        <v>682</v>
      </c>
      <c r="F60" s="161"/>
      <c r="G60" s="163" t="s">
        <v>554</v>
      </c>
      <c r="H60" s="161"/>
      <c r="I60" s="138" t="s">
        <v>554</v>
      </c>
      <c r="J60" s="137" t="s">
        <v>683</v>
      </c>
      <c r="K60" s="138">
        <v>2</v>
      </c>
      <c r="L60" s="130"/>
      <c r="M60" s="18"/>
      <c r="N60" s="18"/>
      <c r="O60" s="18"/>
      <c r="P60" s="17"/>
      <c r="Q60" s="17"/>
      <c r="R60" s="17"/>
      <c r="S60" s="17"/>
    </row>
    <row r="61" spans="1:19" ht="9.9499999999999993" customHeight="1">
      <c r="A61" s="237"/>
      <c r="B61" s="237"/>
      <c r="C61" s="22">
        <v>52</v>
      </c>
      <c r="D61" s="121"/>
      <c r="E61" s="33" t="s">
        <v>1170</v>
      </c>
      <c r="F61" s="161"/>
      <c r="G61" s="131" t="s">
        <v>265</v>
      </c>
      <c r="H61" s="161"/>
      <c r="I61" s="138" t="s">
        <v>742</v>
      </c>
      <c r="J61" s="129" t="s">
        <v>838</v>
      </c>
      <c r="K61" s="129">
        <v>6</v>
      </c>
      <c r="L61" s="130">
        <f t="shared" ref="L61:L92" si="2">K61*$K$5</f>
        <v>6</v>
      </c>
      <c r="M61" s="18"/>
      <c r="N61" s="18"/>
      <c r="O61" s="18"/>
      <c r="P61" s="17"/>
      <c r="Q61" s="17"/>
      <c r="R61" s="17"/>
      <c r="S61" s="17"/>
    </row>
    <row r="62" spans="1:19" ht="9.9499999999999993" customHeight="1">
      <c r="A62" s="237"/>
      <c r="B62" s="237"/>
      <c r="C62" s="22">
        <v>53</v>
      </c>
      <c r="D62" s="121"/>
      <c r="E62" s="33" t="s">
        <v>1170</v>
      </c>
      <c r="F62" s="161"/>
      <c r="G62" s="127" t="s">
        <v>266</v>
      </c>
      <c r="H62" s="161"/>
      <c r="I62" s="132" t="s">
        <v>566</v>
      </c>
      <c r="J62" s="129" t="s">
        <v>838</v>
      </c>
      <c r="K62" s="129">
        <v>1</v>
      </c>
      <c r="L62" s="130">
        <f t="shared" si="2"/>
        <v>1</v>
      </c>
      <c r="M62" s="18"/>
      <c r="N62" s="18"/>
      <c r="O62" s="18"/>
      <c r="P62" s="17"/>
      <c r="Q62" s="17"/>
      <c r="R62" s="17"/>
      <c r="S62" s="17"/>
    </row>
    <row r="63" spans="1:19" ht="9.9499999999999993" customHeight="1">
      <c r="A63" s="237"/>
      <c r="B63" s="237"/>
      <c r="C63" s="22">
        <v>54</v>
      </c>
      <c r="D63" s="121"/>
      <c r="E63" s="33" t="s">
        <v>1170</v>
      </c>
      <c r="F63" s="161"/>
      <c r="G63" s="127" t="s">
        <v>267</v>
      </c>
      <c r="H63" s="161"/>
      <c r="I63" s="132" t="s">
        <v>616</v>
      </c>
      <c r="J63" s="129" t="s">
        <v>1154</v>
      </c>
      <c r="K63" s="129">
        <v>12</v>
      </c>
      <c r="L63" s="130">
        <f t="shared" si="2"/>
        <v>12</v>
      </c>
      <c r="M63" s="18"/>
      <c r="N63" s="18"/>
      <c r="O63" s="18"/>
      <c r="P63" s="17"/>
      <c r="Q63" s="17"/>
      <c r="R63" s="17"/>
      <c r="S63" s="17"/>
    </row>
    <row r="64" spans="1:19" ht="9.9499999999999993" customHeight="1">
      <c r="A64" s="237"/>
      <c r="B64" s="237"/>
      <c r="C64" s="22">
        <v>55</v>
      </c>
      <c r="D64" s="121"/>
      <c r="E64" s="33" t="s">
        <v>1170</v>
      </c>
      <c r="F64" s="161"/>
      <c r="G64" s="127" t="s">
        <v>7</v>
      </c>
      <c r="H64" s="161"/>
      <c r="I64" s="128" t="s">
        <v>1215</v>
      </c>
      <c r="J64" s="129" t="s">
        <v>1154</v>
      </c>
      <c r="K64" s="129">
        <v>15</v>
      </c>
      <c r="L64" s="130">
        <f t="shared" si="2"/>
        <v>15</v>
      </c>
      <c r="M64" s="18"/>
      <c r="N64" s="18"/>
      <c r="O64" s="18"/>
      <c r="P64" s="17"/>
      <c r="Q64" s="17"/>
      <c r="R64" s="17"/>
      <c r="S64" s="17"/>
    </row>
    <row r="65" spans="1:19" ht="9.9499999999999993" customHeight="1">
      <c r="A65" s="237"/>
      <c r="B65" s="237"/>
      <c r="C65" s="22">
        <v>56</v>
      </c>
      <c r="D65" s="121"/>
      <c r="E65" s="33" t="s">
        <v>1170</v>
      </c>
      <c r="F65" s="144"/>
      <c r="G65" s="133" t="s">
        <v>269</v>
      </c>
      <c r="H65" s="145"/>
      <c r="I65" s="138" t="s">
        <v>1216</v>
      </c>
      <c r="J65" s="129" t="s">
        <v>1154</v>
      </c>
      <c r="K65" s="129">
        <v>3</v>
      </c>
      <c r="L65" s="130">
        <f t="shared" si="2"/>
        <v>3</v>
      </c>
      <c r="M65" s="18"/>
      <c r="N65" s="18"/>
      <c r="O65" s="18"/>
      <c r="P65" s="17"/>
      <c r="Q65" s="17"/>
      <c r="R65" s="17"/>
      <c r="S65" s="17"/>
    </row>
    <row r="66" spans="1:19" ht="9.9499999999999993" customHeight="1">
      <c r="A66" s="237"/>
      <c r="B66" s="237"/>
      <c r="C66" s="22">
        <v>57</v>
      </c>
      <c r="D66" s="121"/>
      <c r="E66" s="33" t="s">
        <v>1170</v>
      </c>
      <c r="F66" s="144"/>
      <c r="G66" s="131" t="s">
        <v>1155</v>
      </c>
      <c r="H66" s="145"/>
      <c r="I66" s="138" t="s">
        <v>1217</v>
      </c>
      <c r="J66" s="129" t="s">
        <v>1154</v>
      </c>
      <c r="K66" s="129">
        <v>12</v>
      </c>
      <c r="L66" s="130">
        <f t="shared" si="2"/>
        <v>12</v>
      </c>
      <c r="M66" s="18"/>
      <c r="N66" s="18"/>
      <c r="O66" s="18"/>
      <c r="P66" s="17"/>
      <c r="Q66" s="17"/>
      <c r="R66" s="17"/>
      <c r="S66" s="17"/>
    </row>
    <row r="67" spans="1:19" ht="9.9499999999999993" customHeight="1">
      <c r="A67" s="237"/>
      <c r="B67" s="237"/>
      <c r="C67" s="22">
        <v>58</v>
      </c>
      <c r="D67" s="121"/>
      <c r="E67" s="33" t="s">
        <v>1170</v>
      </c>
      <c r="F67" s="144"/>
      <c r="G67" s="131" t="s">
        <v>267</v>
      </c>
      <c r="H67" s="145"/>
      <c r="I67" s="132" t="s">
        <v>109</v>
      </c>
      <c r="J67" s="129" t="s">
        <v>1154</v>
      </c>
      <c r="K67" s="129">
        <v>10</v>
      </c>
      <c r="L67" s="130">
        <f t="shared" si="2"/>
        <v>10</v>
      </c>
      <c r="M67" s="18"/>
      <c r="N67" s="18"/>
      <c r="O67" s="18"/>
      <c r="P67" s="17"/>
      <c r="Q67" s="17"/>
      <c r="R67" s="17"/>
      <c r="S67" s="17"/>
    </row>
    <row r="68" spans="1:19" ht="9.9499999999999993" customHeight="1">
      <c r="A68" s="237"/>
      <c r="B68" s="237"/>
      <c r="C68" s="22">
        <v>59</v>
      </c>
      <c r="D68" s="121"/>
      <c r="E68" s="33" t="s">
        <v>1170</v>
      </c>
      <c r="F68" s="144"/>
      <c r="G68" s="127" t="s">
        <v>1173</v>
      </c>
      <c r="H68" s="145"/>
      <c r="I68" s="128" t="s">
        <v>1214</v>
      </c>
      <c r="J68" s="129" t="s">
        <v>1174</v>
      </c>
      <c r="K68" s="129">
        <v>0</v>
      </c>
      <c r="L68" s="130">
        <f t="shared" si="2"/>
        <v>0</v>
      </c>
      <c r="M68" s="18"/>
      <c r="N68" s="18"/>
      <c r="O68" s="18"/>
      <c r="P68" s="17"/>
      <c r="Q68" s="17"/>
      <c r="R68" s="17"/>
      <c r="S68" s="17"/>
    </row>
    <row r="69" spans="1:19" ht="9.9499999999999993" customHeight="1">
      <c r="A69" s="237"/>
      <c r="B69" s="237"/>
      <c r="C69" s="22">
        <v>60</v>
      </c>
      <c r="D69" s="121"/>
      <c r="E69" s="33" t="s">
        <v>270</v>
      </c>
      <c r="F69" s="144"/>
      <c r="G69" s="133" t="s">
        <v>271</v>
      </c>
      <c r="H69" s="145"/>
      <c r="I69" s="138" t="s">
        <v>63</v>
      </c>
      <c r="J69" s="129" t="s">
        <v>62</v>
      </c>
      <c r="K69" s="129">
        <v>9</v>
      </c>
      <c r="L69" s="130">
        <f t="shared" si="2"/>
        <v>9</v>
      </c>
      <c r="M69" s="18"/>
      <c r="N69" s="18"/>
      <c r="O69" s="18"/>
      <c r="P69" s="17"/>
      <c r="Q69" s="17"/>
      <c r="R69" s="17"/>
      <c r="S69" s="17"/>
    </row>
    <row r="70" spans="1:19" ht="9.9499999999999993" customHeight="1">
      <c r="A70" s="237"/>
      <c r="B70" s="237"/>
      <c r="C70" s="22">
        <v>61</v>
      </c>
      <c r="D70" s="121"/>
      <c r="E70" s="33" t="s">
        <v>1170</v>
      </c>
      <c r="F70" s="144"/>
      <c r="G70" s="133" t="s">
        <v>272</v>
      </c>
      <c r="H70" s="145"/>
      <c r="I70" s="138" t="s">
        <v>617</v>
      </c>
      <c r="J70" s="129" t="s">
        <v>1154</v>
      </c>
      <c r="K70" s="129">
        <v>6</v>
      </c>
      <c r="L70" s="130">
        <f t="shared" si="2"/>
        <v>6</v>
      </c>
      <c r="M70" s="18"/>
      <c r="N70" s="18"/>
      <c r="O70" s="18"/>
      <c r="P70" s="17"/>
      <c r="Q70" s="17"/>
      <c r="R70" s="17"/>
      <c r="S70" s="17"/>
    </row>
    <row r="71" spans="1:19" ht="9.9499999999999993" customHeight="1">
      <c r="A71" s="237"/>
      <c r="B71" s="237"/>
      <c r="C71" s="22">
        <v>62</v>
      </c>
      <c r="D71" s="121"/>
      <c r="E71" s="33" t="s">
        <v>896</v>
      </c>
      <c r="F71" s="144"/>
      <c r="G71" s="133" t="s">
        <v>673</v>
      </c>
      <c r="H71" s="145"/>
      <c r="I71" s="138" t="s">
        <v>674</v>
      </c>
      <c r="J71" s="129" t="s">
        <v>672</v>
      </c>
      <c r="K71" s="129">
        <v>9</v>
      </c>
      <c r="L71" s="130">
        <f t="shared" si="2"/>
        <v>9</v>
      </c>
      <c r="M71" s="18"/>
      <c r="N71" s="18"/>
      <c r="O71" s="18"/>
      <c r="P71" s="17"/>
      <c r="Q71" s="17"/>
      <c r="R71" s="17"/>
      <c r="S71" s="17"/>
    </row>
    <row r="72" spans="1:19" ht="9.9499999999999993" customHeight="1">
      <c r="A72" s="237"/>
      <c r="B72" s="237"/>
      <c r="C72" s="22">
        <v>63</v>
      </c>
      <c r="D72" s="121"/>
      <c r="E72" s="33" t="s">
        <v>896</v>
      </c>
      <c r="F72" s="144"/>
      <c r="G72" s="133" t="s">
        <v>670</v>
      </c>
      <c r="H72" s="145"/>
      <c r="I72" s="138" t="s">
        <v>671</v>
      </c>
      <c r="J72" s="129" t="s">
        <v>672</v>
      </c>
      <c r="K72" s="129">
        <v>6</v>
      </c>
      <c r="L72" s="130">
        <f t="shared" si="2"/>
        <v>6</v>
      </c>
      <c r="M72" s="18"/>
      <c r="N72" s="18"/>
      <c r="O72" s="18"/>
      <c r="P72" s="17"/>
      <c r="Q72" s="17"/>
      <c r="R72" s="17"/>
      <c r="S72" s="17"/>
    </row>
    <row r="73" spans="1:19" ht="9.9499999999999993" customHeight="1">
      <c r="A73" s="237"/>
      <c r="B73" s="237"/>
      <c r="C73" s="22">
        <v>64</v>
      </c>
      <c r="D73" s="121"/>
      <c r="E73" s="72" t="s">
        <v>1177</v>
      </c>
      <c r="F73" s="161"/>
      <c r="G73" s="164" t="s">
        <v>274</v>
      </c>
      <c r="H73" s="161"/>
      <c r="I73" s="165" t="s">
        <v>1218</v>
      </c>
      <c r="J73" s="165" t="s">
        <v>1179</v>
      </c>
      <c r="K73" s="165">
        <v>9</v>
      </c>
      <c r="L73" s="130">
        <f t="shared" si="2"/>
        <v>9</v>
      </c>
      <c r="M73" s="18"/>
      <c r="N73" s="18"/>
      <c r="O73" s="18"/>
      <c r="P73" s="17"/>
      <c r="Q73" s="17"/>
      <c r="R73" s="17"/>
      <c r="S73" s="17"/>
    </row>
    <row r="74" spans="1:19" ht="9.9499999999999993" customHeight="1">
      <c r="A74" s="237"/>
      <c r="B74" s="237"/>
      <c r="C74" s="22">
        <v>65</v>
      </c>
      <c r="D74" s="121"/>
      <c r="E74" s="72" t="s">
        <v>1177</v>
      </c>
      <c r="F74" s="166"/>
      <c r="G74" s="164" t="s">
        <v>18</v>
      </c>
      <c r="H74" s="145"/>
      <c r="I74" s="165" t="s">
        <v>1220</v>
      </c>
      <c r="J74" s="165" t="s">
        <v>1179</v>
      </c>
      <c r="K74" s="165">
        <v>4</v>
      </c>
      <c r="L74" s="130">
        <f t="shared" si="2"/>
        <v>4</v>
      </c>
      <c r="M74" s="18"/>
      <c r="N74" s="18"/>
      <c r="O74" s="18"/>
      <c r="P74" s="17"/>
      <c r="Q74" s="17"/>
      <c r="R74" s="17"/>
      <c r="S74" s="17"/>
    </row>
    <row r="75" spans="1:19" ht="9.9499999999999993" customHeight="1">
      <c r="A75" s="237"/>
      <c r="B75" s="237"/>
      <c r="C75" s="22">
        <v>66</v>
      </c>
      <c r="D75" s="121"/>
      <c r="E75" s="67" t="s">
        <v>1177</v>
      </c>
      <c r="F75" s="166"/>
      <c r="G75" s="158" t="s">
        <v>963</v>
      </c>
      <c r="H75" s="145"/>
      <c r="I75" s="159" t="s">
        <v>1211</v>
      </c>
      <c r="J75" s="160" t="s">
        <v>1179</v>
      </c>
      <c r="K75" s="160">
        <v>12</v>
      </c>
      <c r="L75" s="130">
        <f t="shared" si="2"/>
        <v>12</v>
      </c>
      <c r="M75" s="18"/>
      <c r="N75" s="18"/>
      <c r="O75" s="18"/>
      <c r="P75" s="17"/>
      <c r="Q75" s="17"/>
      <c r="R75" s="17"/>
      <c r="S75" s="17"/>
    </row>
    <row r="76" spans="1:19" ht="9.9499999999999993" customHeight="1">
      <c r="A76" s="237"/>
      <c r="B76" s="237"/>
      <c r="C76" s="22">
        <v>67</v>
      </c>
      <c r="D76" s="121"/>
      <c r="E76" s="67" t="s">
        <v>1177</v>
      </c>
      <c r="F76" s="144"/>
      <c r="G76" s="158" t="s">
        <v>275</v>
      </c>
      <c r="H76" s="145"/>
      <c r="I76" s="159" t="s">
        <v>685</v>
      </c>
      <c r="J76" s="160" t="s">
        <v>1179</v>
      </c>
      <c r="K76" s="160">
        <v>2</v>
      </c>
      <c r="L76" s="130">
        <f t="shared" si="2"/>
        <v>2</v>
      </c>
      <c r="M76" s="18"/>
      <c r="N76" s="18"/>
      <c r="O76" s="18"/>
      <c r="P76" s="17"/>
      <c r="Q76" s="17"/>
      <c r="R76" s="17"/>
      <c r="S76" s="17"/>
    </row>
    <row r="77" spans="1:19" ht="9.9499999999999993" customHeight="1">
      <c r="A77" s="237"/>
      <c r="B77" s="237"/>
      <c r="C77" s="22">
        <v>68</v>
      </c>
      <c r="D77" s="121"/>
      <c r="E77" s="33" t="s">
        <v>1177</v>
      </c>
      <c r="F77" s="144"/>
      <c r="G77" s="127" t="s">
        <v>277</v>
      </c>
      <c r="H77" s="167"/>
      <c r="I77" s="128" t="s">
        <v>743</v>
      </c>
      <c r="J77" s="129" t="s">
        <v>1179</v>
      </c>
      <c r="K77" s="129">
        <v>18</v>
      </c>
      <c r="L77" s="130">
        <f t="shared" si="2"/>
        <v>18</v>
      </c>
      <c r="M77" s="18"/>
      <c r="N77" s="18"/>
      <c r="O77" s="18"/>
      <c r="P77" s="17"/>
      <c r="Q77" s="17"/>
      <c r="R77" s="17"/>
      <c r="S77" s="17"/>
    </row>
    <row r="78" spans="1:19" ht="9.9499999999999993" customHeight="1">
      <c r="A78" s="237"/>
      <c r="B78" s="237"/>
      <c r="C78" s="22">
        <v>69</v>
      </c>
      <c r="D78" s="121"/>
      <c r="E78" s="33" t="s">
        <v>1177</v>
      </c>
      <c r="F78" s="168"/>
      <c r="G78" s="133" t="s">
        <v>279</v>
      </c>
      <c r="H78" s="169"/>
      <c r="I78" s="138" t="s">
        <v>744</v>
      </c>
      <c r="J78" s="129" t="s">
        <v>1179</v>
      </c>
      <c r="K78" s="129">
        <v>18</v>
      </c>
      <c r="L78" s="130">
        <f t="shared" si="2"/>
        <v>18</v>
      </c>
      <c r="M78" s="18"/>
      <c r="N78" s="18"/>
      <c r="O78" s="18"/>
      <c r="P78" s="17"/>
      <c r="Q78" s="17"/>
      <c r="R78" s="17"/>
      <c r="S78" s="17"/>
    </row>
    <row r="79" spans="1:19" ht="9.9499999999999993" customHeight="1">
      <c r="A79" s="237"/>
      <c r="B79" s="237"/>
      <c r="C79" s="22">
        <v>70</v>
      </c>
      <c r="D79" s="121"/>
      <c r="E79" s="33" t="s">
        <v>1180</v>
      </c>
      <c r="F79" s="168"/>
      <c r="G79" s="127" t="s">
        <v>281</v>
      </c>
      <c r="H79" s="169"/>
      <c r="I79" s="132" t="s">
        <v>163</v>
      </c>
      <c r="J79" s="129" t="s">
        <v>164</v>
      </c>
      <c r="K79" s="129">
        <v>7</v>
      </c>
      <c r="L79" s="130">
        <f t="shared" si="2"/>
        <v>7</v>
      </c>
      <c r="M79" s="18"/>
      <c r="N79" s="18"/>
      <c r="O79" s="18"/>
      <c r="P79" s="17"/>
      <c r="Q79" s="17"/>
      <c r="R79" s="17"/>
      <c r="S79" s="17"/>
    </row>
    <row r="80" spans="1:19" ht="9.9499999999999993" customHeight="1">
      <c r="A80" s="237"/>
      <c r="B80" s="237"/>
      <c r="C80" s="22">
        <v>71</v>
      </c>
      <c r="D80" s="121"/>
      <c r="E80" s="33" t="s">
        <v>1181</v>
      </c>
      <c r="F80" s="168"/>
      <c r="G80" s="127" t="s">
        <v>864</v>
      </c>
      <c r="H80" s="169"/>
      <c r="I80" s="132" t="s">
        <v>865</v>
      </c>
      <c r="J80" s="129" t="s">
        <v>1043</v>
      </c>
      <c r="K80" s="129">
        <v>24</v>
      </c>
      <c r="L80" s="130">
        <f t="shared" si="2"/>
        <v>24</v>
      </c>
      <c r="M80" s="18"/>
      <c r="N80" s="18"/>
      <c r="O80" s="18"/>
      <c r="P80" s="17"/>
      <c r="Q80" s="17"/>
      <c r="R80" s="17"/>
      <c r="S80" s="17"/>
    </row>
    <row r="81" spans="1:19" ht="9.9499999999999993" customHeight="1">
      <c r="A81" s="237"/>
      <c r="B81" s="237"/>
      <c r="C81" s="22">
        <v>72</v>
      </c>
      <c r="D81" s="122"/>
      <c r="E81" s="33" t="s">
        <v>1181</v>
      </c>
      <c r="F81" s="168"/>
      <c r="G81" s="127" t="s">
        <v>112</v>
      </c>
      <c r="H81" s="169"/>
      <c r="I81" s="132" t="s">
        <v>113</v>
      </c>
      <c r="J81" s="129" t="s">
        <v>1043</v>
      </c>
      <c r="K81" s="129">
        <v>4</v>
      </c>
      <c r="L81" s="130">
        <f t="shared" si="2"/>
        <v>4</v>
      </c>
      <c r="M81" s="18"/>
      <c r="N81" s="18"/>
      <c r="O81" s="18"/>
      <c r="P81" s="17"/>
      <c r="Q81" s="17"/>
      <c r="R81" s="17"/>
      <c r="S81" s="17"/>
    </row>
    <row r="82" spans="1:19" ht="9.9499999999999993" customHeight="1" thickBot="1">
      <c r="A82" s="237"/>
      <c r="B82" s="237"/>
      <c r="C82" s="22">
        <v>73</v>
      </c>
      <c r="D82" s="123"/>
      <c r="E82" s="33" t="s">
        <v>1181</v>
      </c>
      <c r="F82" s="170"/>
      <c r="G82" s="127" t="s">
        <v>856</v>
      </c>
      <c r="H82" s="145"/>
      <c r="I82" s="129" t="s">
        <v>857</v>
      </c>
      <c r="J82" s="129" t="s">
        <v>1043</v>
      </c>
      <c r="K82" s="129">
        <v>8</v>
      </c>
      <c r="L82" s="130">
        <f t="shared" si="2"/>
        <v>8</v>
      </c>
      <c r="M82" s="18"/>
      <c r="N82" s="18"/>
      <c r="O82" s="18"/>
      <c r="P82" s="17"/>
      <c r="Q82" s="17"/>
      <c r="R82" s="17"/>
      <c r="S82" s="17"/>
    </row>
    <row r="83" spans="1:19" ht="9.9499999999999993" customHeight="1">
      <c r="A83" s="237"/>
      <c r="B83" s="237"/>
      <c r="C83" s="22">
        <v>74</v>
      </c>
      <c r="E83" s="33" t="s">
        <v>1181</v>
      </c>
      <c r="F83" s="170"/>
      <c r="G83" s="127" t="s">
        <v>858</v>
      </c>
      <c r="H83" s="145"/>
      <c r="I83" s="129" t="s">
        <v>859</v>
      </c>
      <c r="J83" s="129" t="s">
        <v>1043</v>
      </c>
      <c r="K83" s="129">
        <v>8</v>
      </c>
      <c r="L83" s="130">
        <f t="shared" si="2"/>
        <v>8</v>
      </c>
      <c r="M83" s="18"/>
      <c r="N83" s="18"/>
      <c r="O83" s="18"/>
      <c r="P83" s="17"/>
      <c r="Q83" s="17"/>
      <c r="R83" s="17"/>
      <c r="S83" s="17"/>
    </row>
    <row r="84" spans="1:19" ht="9.9499999999999993" customHeight="1">
      <c r="A84" s="237"/>
      <c r="B84" s="237"/>
      <c r="C84" s="22">
        <v>75</v>
      </c>
      <c r="E84" s="108" t="s">
        <v>1180</v>
      </c>
      <c r="F84" s="170"/>
      <c r="G84" s="131" t="s">
        <v>104</v>
      </c>
      <c r="H84" s="145"/>
      <c r="I84" s="171" t="s">
        <v>105</v>
      </c>
      <c r="J84" s="153" t="s">
        <v>1043</v>
      </c>
      <c r="K84" s="149">
        <v>2</v>
      </c>
      <c r="L84" s="130">
        <f t="shared" si="2"/>
        <v>2</v>
      </c>
      <c r="M84" s="18"/>
      <c r="N84" s="18"/>
      <c r="O84" s="18"/>
      <c r="P84" s="17"/>
      <c r="Q84" s="17"/>
      <c r="R84" s="17"/>
      <c r="S84" s="17"/>
    </row>
    <row r="85" spans="1:19" ht="9.9499999999999993" customHeight="1">
      <c r="A85" s="237"/>
      <c r="B85" s="237"/>
      <c r="C85" s="22">
        <v>76</v>
      </c>
      <c r="E85" s="108" t="s">
        <v>1180</v>
      </c>
      <c r="F85" s="170"/>
      <c r="G85" s="131" t="s">
        <v>107</v>
      </c>
      <c r="H85" s="145"/>
      <c r="I85" s="171" t="s">
        <v>108</v>
      </c>
      <c r="J85" s="153" t="s">
        <v>1043</v>
      </c>
      <c r="K85" s="149">
        <v>2</v>
      </c>
      <c r="L85" s="130">
        <f t="shared" si="2"/>
        <v>2</v>
      </c>
      <c r="M85" s="18"/>
      <c r="N85" s="18"/>
      <c r="O85" s="18"/>
      <c r="P85" s="17"/>
      <c r="Q85" s="17"/>
      <c r="R85" s="17"/>
      <c r="S85" s="17"/>
    </row>
    <row r="86" spans="1:19" ht="9.9499999999999993" customHeight="1">
      <c r="A86" s="237"/>
      <c r="B86" s="237"/>
      <c r="C86" s="22">
        <v>77</v>
      </c>
      <c r="E86" s="33" t="s">
        <v>1181</v>
      </c>
      <c r="F86" s="170"/>
      <c r="G86" s="133" t="s">
        <v>866</v>
      </c>
      <c r="H86" s="145"/>
      <c r="I86" s="138" t="s">
        <v>867</v>
      </c>
      <c r="J86" s="129" t="s">
        <v>1043</v>
      </c>
      <c r="K86" s="129">
        <v>8</v>
      </c>
      <c r="L86" s="130">
        <f t="shared" si="2"/>
        <v>8</v>
      </c>
      <c r="M86" s="18"/>
      <c r="N86" s="18"/>
      <c r="O86" s="18"/>
      <c r="P86" s="17"/>
      <c r="Q86" s="17"/>
      <c r="R86" s="17"/>
      <c r="S86" s="17"/>
    </row>
    <row r="87" spans="1:19" ht="9.9499999999999993" customHeight="1">
      <c r="A87" s="237"/>
      <c r="B87" s="237"/>
      <c r="C87" s="22">
        <v>78</v>
      </c>
      <c r="E87" s="33" t="s">
        <v>1181</v>
      </c>
      <c r="F87" s="170"/>
      <c r="G87" s="133" t="s">
        <v>868</v>
      </c>
      <c r="H87" s="145"/>
      <c r="I87" s="138" t="s">
        <v>869</v>
      </c>
      <c r="J87" s="129" t="s">
        <v>1043</v>
      </c>
      <c r="K87" s="129">
        <v>4</v>
      </c>
      <c r="L87" s="130">
        <f t="shared" si="2"/>
        <v>4</v>
      </c>
      <c r="M87" s="18"/>
      <c r="N87" s="18"/>
      <c r="O87" s="18"/>
      <c r="P87" s="17"/>
      <c r="Q87" s="17"/>
      <c r="R87" s="17"/>
      <c r="S87" s="17"/>
    </row>
    <row r="88" spans="1:19" ht="9.9499999999999993" customHeight="1">
      <c r="A88" s="237"/>
      <c r="B88" s="237"/>
      <c r="C88" s="22">
        <v>79</v>
      </c>
      <c r="E88" s="33" t="s">
        <v>1181</v>
      </c>
      <c r="F88" s="170"/>
      <c r="G88" s="127" t="s">
        <v>860</v>
      </c>
      <c r="H88" s="145"/>
      <c r="I88" s="129" t="s">
        <v>861</v>
      </c>
      <c r="J88" s="129" t="s">
        <v>1043</v>
      </c>
      <c r="K88" s="129">
        <v>4</v>
      </c>
      <c r="L88" s="130">
        <f t="shared" si="2"/>
        <v>4</v>
      </c>
      <c r="M88" s="18"/>
      <c r="N88" s="18"/>
      <c r="O88" s="18"/>
      <c r="P88" s="17"/>
      <c r="Q88" s="17"/>
      <c r="R88" s="17"/>
      <c r="S88" s="17"/>
    </row>
    <row r="89" spans="1:19" ht="9.9499999999999993" customHeight="1">
      <c r="A89" s="237"/>
      <c r="B89" s="237"/>
      <c r="C89" s="22">
        <v>80</v>
      </c>
      <c r="E89" s="33" t="s">
        <v>1181</v>
      </c>
      <c r="F89" s="170"/>
      <c r="G89" s="127" t="s">
        <v>862</v>
      </c>
      <c r="H89" s="172"/>
      <c r="I89" s="129" t="s">
        <v>863</v>
      </c>
      <c r="J89" s="129" t="s">
        <v>1043</v>
      </c>
      <c r="K89" s="129">
        <v>4</v>
      </c>
      <c r="L89" s="130">
        <f t="shared" si="2"/>
        <v>4</v>
      </c>
      <c r="M89" s="18"/>
      <c r="N89" s="18"/>
      <c r="O89" s="18"/>
      <c r="P89" s="17"/>
      <c r="Q89" s="17"/>
      <c r="R89" s="17"/>
      <c r="S89" s="17"/>
    </row>
    <row r="90" spans="1:19" ht="9.9499999999999993" customHeight="1">
      <c r="A90" s="237"/>
      <c r="B90" s="237"/>
      <c r="C90" s="22">
        <v>81</v>
      </c>
      <c r="E90" s="33" t="s">
        <v>1181</v>
      </c>
      <c r="F90" s="173"/>
      <c r="G90" s="127" t="s">
        <v>843</v>
      </c>
      <c r="H90" s="145"/>
      <c r="I90" s="129" t="s">
        <v>844</v>
      </c>
      <c r="J90" s="129" t="s">
        <v>1043</v>
      </c>
      <c r="K90" s="129">
        <v>4</v>
      </c>
      <c r="L90" s="130">
        <f t="shared" si="2"/>
        <v>4</v>
      </c>
      <c r="M90" s="18"/>
      <c r="N90" s="18"/>
      <c r="O90" s="18"/>
      <c r="P90" s="17"/>
      <c r="Q90" s="17"/>
      <c r="R90" s="17"/>
      <c r="S90" s="17"/>
    </row>
    <row r="91" spans="1:19" ht="9.9499999999999993" customHeight="1">
      <c r="A91" s="237"/>
      <c r="B91" s="237"/>
      <c r="C91" s="22">
        <v>82</v>
      </c>
      <c r="E91" s="33" t="s">
        <v>1181</v>
      </c>
      <c r="F91" s="174"/>
      <c r="G91" s="133" t="s">
        <v>282</v>
      </c>
      <c r="H91" s="175"/>
      <c r="I91" s="138" t="s">
        <v>738</v>
      </c>
      <c r="J91" s="129" t="s">
        <v>1043</v>
      </c>
      <c r="K91" s="129">
        <v>3</v>
      </c>
      <c r="L91" s="130">
        <f t="shared" si="2"/>
        <v>3</v>
      </c>
      <c r="M91" s="18"/>
      <c r="N91" s="18"/>
      <c r="O91" s="18"/>
      <c r="P91" s="17"/>
      <c r="Q91" s="17"/>
      <c r="R91" s="17"/>
      <c r="S91" s="17"/>
    </row>
    <row r="92" spans="1:19" ht="9.9499999999999993" customHeight="1">
      <c r="A92" s="237"/>
      <c r="B92" s="237"/>
      <c r="C92" s="22">
        <v>83</v>
      </c>
      <c r="E92" s="33" t="s">
        <v>1181</v>
      </c>
      <c r="F92" s="144"/>
      <c r="G92" s="131" t="s">
        <v>284</v>
      </c>
      <c r="H92" s="146"/>
      <c r="I92" s="129" t="s">
        <v>739</v>
      </c>
      <c r="J92" s="129" t="s">
        <v>1043</v>
      </c>
      <c r="K92" s="129">
        <v>3</v>
      </c>
      <c r="L92" s="130">
        <f t="shared" si="2"/>
        <v>3</v>
      </c>
      <c r="M92" s="18"/>
      <c r="N92" s="18"/>
      <c r="O92" s="18"/>
      <c r="P92" s="17"/>
      <c r="Q92" s="17"/>
      <c r="R92" s="17"/>
      <c r="S92" s="17"/>
    </row>
    <row r="93" spans="1:19" ht="9.9499999999999993" customHeight="1">
      <c r="A93" s="237"/>
      <c r="B93" s="237"/>
      <c r="C93" s="22">
        <v>84</v>
      </c>
      <c r="E93" s="33" t="s">
        <v>1181</v>
      </c>
      <c r="F93" s="150"/>
      <c r="G93" s="127" t="s">
        <v>286</v>
      </c>
      <c r="H93" s="146"/>
      <c r="I93" s="129" t="s">
        <v>287</v>
      </c>
      <c r="J93" s="129" t="s">
        <v>1043</v>
      </c>
      <c r="K93" s="129">
        <v>27</v>
      </c>
      <c r="L93" s="130">
        <f t="shared" ref="L93:L116" si="3">K93*$K$5</f>
        <v>27</v>
      </c>
      <c r="M93" s="18"/>
      <c r="N93" s="18"/>
      <c r="O93" s="18"/>
      <c r="P93" s="17"/>
      <c r="Q93" s="17"/>
      <c r="R93" s="17"/>
      <c r="S93" s="17"/>
    </row>
    <row r="94" spans="1:19" ht="9.9499999999999993" customHeight="1">
      <c r="A94" s="237"/>
      <c r="B94" s="237"/>
      <c r="C94" s="22">
        <v>85</v>
      </c>
      <c r="E94" s="33" t="s">
        <v>1180</v>
      </c>
      <c r="F94" s="167"/>
      <c r="G94" s="131" t="s">
        <v>288</v>
      </c>
      <c r="H94" s="176"/>
      <c r="I94" s="129" t="s">
        <v>614</v>
      </c>
      <c r="J94" s="129" t="s">
        <v>1043</v>
      </c>
      <c r="K94" s="129">
        <v>4</v>
      </c>
      <c r="L94" s="130">
        <f t="shared" si="3"/>
        <v>4</v>
      </c>
      <c r="M94" s="18"/>
      <c r="N94" s="18"/>
      <c r="O94" s="18"/>
      <c r="P94" s="17"/>
      <c r="Q94" s="17"/>
      <c r="R94" s="17"/>
      <c r="S94" s="17"/>
    </row>
    <row r="95" spans="1:19" ht="9.9499999999999993" customHeight="1">
      <c r="A95" s="237"/>
      <c r="B95" s="237"/>
      <c r="C95" s="22">
        <v>86</v>
      </c>
      <c r="E95" s="108" t="s">
        <v>1180</v>
      </c>
      <c r="F95" s="150"/>
      <c r="G95" s="131" t="s">
        <v>289</v>
      </c>
      <c r="H95" s="151"/>
      <c r="I95" s="171" t="s">
        <v>290</v>
      </c>
      <c r="J95" s="153" t="s">
        <v>1043</v>
      </c>
      <c r="K95" s="149">
        <v>0</v>
      </c>
      <c r="L95" s="130">
        <f t="shared" si="3"/>
        <v>0</v>
      </c>
      <c r="M95" s="18"/>
      <c r="N95" s="18"/>
      <c r="O95" s="18"/>
      <c r="P95" s="17"/>
      <c r="Q95" s="17"/>
      <c r="R95" s="17"/>
      <c r="S95" s="17"/>
    </row>
    <row r="96" spans="1:19" ht="9.9499999999999993" customHeight="1">
      <c r="A96" s="237"/>
      <c r="B96" s="237"/>
      <c r="C96" s="22">
        <v>87</v>
      </c>
      <c r="E96" s="108" t="s">
        <v>1177</v>
      </c>
      <c r="F96" s="177"/>
      <c r="G96" s="131" t="s">
        <v>292</v>
      </c>
      <c r="H96" s="177"/>
      <c r="I96" s="171" t="s">
        <v>618</v>
      </c>
      <c r="J96" s="153" t="s">
        <v>1043</v>
      </c>
      <c r="K96" s="149">
        <v>4</v>
      </c>
      <c r="L96" s="130">
        <f t="shared" si="3"/>
        <v>4</v>
      </c>
      <c r="M96" s="18"/>
      <c r="N96" s="18"/>
      <c r="O96" s="18"/>
      <c r="P96" s="17"/>
      <c r="Q96" s="17"/>
      <c r="R96" s="17"/>
      <c r="S96" s="17"/>
    </row>
    <row r="97" spans="1:19" ht="9.9499999999999993" customHeight="1">
      <c r="A97" s="237"/>
      <c r="B97" s="237"/>
      <c r="C97" s="22">
        <v>88</v>
      </c>
      <c r="E97" s="75" t="s">
        <v>1180</v>
      </c>
      <c r="F97" s="178"/>
      <c r="G97" s="164" t="s">
        <v>293</v>
      </c>
      <c r="H97" s="179"/>
      <c r="I97" s="165" t="s">
        <v>615</v>
      </c>
      <c r="J97" s="165" t="s">
        <v>1043</v>
      </c>
      <c r="K97" s="138">
        <v>4</v>
      </c>
      <c r="L97" s="130">
        <f t="shared" si="3"/>
        <v>4</v>
      </c>
      <c r="M97" s="18"/>
      <c r="N97" s="18"/>
      <c r="O97" s="18"/>
      <c r="P97" s="17"/>
      <c r="Q97" s="17"/>
      <c r="R97" s="17"/>
      <c r="S97" s="17"/>
    </row>
    <row r="98" spans="1:19" ht="9.9499999999999993" customHeight="1">
      <c r="A98" s="237"/>
      <c r="B98" s="237"/>
      <c r="C98" s="22">
        <v>89</v>
      </c>
      <c r="E98" s="33" t="s">
        <v>58</v>
      </c>
      <c r="F98" s="178"/>
      <c r="G98" s="131" t="s">
        <v>59</v>
      </c>
      <c r="H98" s="178"/>
      <c r="I98" s="129" t="s">
        <v>915</v>
      </c>
      <c r="J98" s="129" t="s">
        <v>916</v>
      </c>
      <c r="K98" s="180">
        <v>22</v>
      </c>
      <c r="L98" s="130">
        <f t="shared" si="3"/>
        <v>22</v>
      </c>
      <c r="M98" s="18"/>
      <c r="N98" s="18"/>
      <c r="O98" s="18"/>
      <c r="P98" s="17"/>
      <c r="Q98" s="17"/>
      <c r="R98" s="17"/>
      <c r="S98" s="17"/>
    </row>
    <row r="99" spans="1:19" ht="9.9499999999999993" customHeight="1">
      <c r="A99" s="237"/>
      <c r="B99" s="237"/>
      <c r="C99" s="22">
        <v>90</v>
      </c>
      <c r="E99" s="33" t="s">
        <v>1176</v>
      </c>
      <c r="F99" s="178"/>
      <c r="G99" s="131" t="s">
        <v>141</v>
      </c>
      <c r="H99" s="178"/>
      <c r="I99" s="129" t="s">
        <v>295</v>
      </c>
      <c r="J99" s="129" t="s">
        <v>847</v>
      </c>
      <c r="K99" s="180">
        <v>79</v>
      </c>
      <c r="L99" s="130">
        <f t="shared" si="3"/>
        <v>79</v>
      </c>
      <c r="M99" s="18"/>
      <c r="N99" s="18"/>
      <c r="O99" s="18"/>
      <c r="P99" s="17"/>
      <c r="Q99" s="17"/>
      <c r="R99" s="17"/>
      <c r="S99" s="17"/>
    </row>
    <row r="100" spans="1:19" ht="9.9499999999999993" customHeight="1">
      <c r="A100" s="237"/>
      <c r="B100" s="237"/>
      <c r="C100" s="22">
        <v>91</v>
      </c>
      <c r="E100" s="33" t="s">
        <v>1176</v>
      </c>
      <c r="F100" s="179"/>
      <c r="G100" s="133" t="s">
        <v>140</v>
      </c>
      <c r="H100" s="179"/>
      <c r="I100" s="138" t="s">
        <v>143</v>
      </c>
      <c r="J100" s="153" t="s">
        <v>847</v>
      </c>
      <c r="K100" s="129">
        <v>57</v>
      </c>
      <c r="L100" s="130">
        <f t="shared" si="3"/>
        <v>57</v>
      </c>
      <c r="M100" s="18"/>
      <c r="N100" s="18"/>
      <c r="O100" s="18"/>
      <c r="P100" s="17"/>
      <c r="Q100" s="17"/>
      <c r="R100" s="17"/>
      <c r="S100" s="17"/>
    </row>
    <row r="101" spans="1:19" ht="9.9499999999999993" customHeight="1">
      <c r="A101" s="237"/>
      <c r="B101" s="237"/>
      <c r="C101" s="22">
        <v>92</v>
      </c>
      <c r="E101" s="33" t="s">
        <v>64</v>
      </c>
      <c r="F101" s="181"/>
      <c r="G101" s="133" t="s">
        <v>296</v>
      </c>
      <c r="H101" s="175"/>
      <c r="I101" s="138" t="s">
        <v>1073</v>
      </c>
      <c r="J101" s="129" t="s">
        <v>942</v>
      </c>
      <c r="K101" s="129">
        <v>16</v>
      </c>
      <c r="L101" s="130">
        <f t="shared" si="3"/>
        <v>16</v>
      </c>
      <c r="M101" s="18"/>
      <c r="N101" s="18"/>
      <c r="O101" s="18"/>
      <c r="P101" s="17"/>
      <c r="Q101" s="17"/>
      <c r="R101" s="17"/>
      <c r="S101" s="17"/>
    </row>
    <row r="102" spans="1:19" ht="9.9499999999999993" customHeight="1">
      <c r="A102" s="237"/>
      <c r="B102" s="237"/>
      <c r="C102" s="22">
        <v>93</v>
      </c>
      <c r="E102" s="33" t="s">
        <v>1130</v>
      </c>
      <c r="F102" s="181"/>
      <c r="G102" s="133" t="s">
        <v>927</v>
      </c>
      <c r="H102" s="175"/>
      <c r="I102" s="138" t="s">
        <v>926</v>
      </c>
      <c r="J102" s="129" t="s">
        <v>942</v>
      </c>
      <c r="K102" s="129">
        <v>2</v>
      </c>
      <c r="L102" s="130">
        <f t="shared" si="3"/>
        <v>2</v>
      </c>
      <c r="M102" s="18"/>
      <c r="N102" s="18"/>
      <c r="O102" s="18"/>
      <c r="P102" s="17"/>
      <c r="Q102" s="17"/>
      <c r="R102" s="17"/>
      <c r="S102" s="17"/>
    </row>
    <row r="103" spans="1:19" ht="9.9499999999999993" customHeight="1">
      <c r="A103" s="237"/>
      <c r="B103" s="237"/>
      <c r="C103" s="22">
        <v>94</v>
      </c>
      <c r="E103" s="75" t="s">
        <v>1114</v>
      </c>
      <c r="F103" s="179"/>
      <c r="G103" s="164" t="s">
        <v>948</v>
      </c>
      <c r="H103" s="179"/>
      <c r="I103" s="165" t="s">
        <v>1062</v>
      </c>
      <c r="J103" s="165" t="s">
        <v>942</v>
      </c>
      <c r="K103" s="165">
        <v>62</v>
      </c>
      <c r="L103" s="130">
        <f t="shared" si="3"/>
        <v>62</v>
      </c>
      <c r="M103" s="18"/>
      <c r="N103" s="18"/>
      <c r="O103" s="18"/>
      <c r="P103" s="17"/>
      <c r="Q103" s="17"/>
      <c r="R103" s="17"/>
      <c r="S103" s="17"/>
    </row>
    <row r="104" spans="1:19" ht="9.9499999999999993" customHeight="1">
      <c r="A104" s="237"/>
      <c r="B104" s="237"/>
      <c r="C104" s="22">
        <v>95</v>
      </c>
      <c r="E104" s="108" t="s">
        <v>1112</v>
      </c>
      <c r="F104" s="181"/>
      <c r="G104" s="131" t="s">
        <v>946</v>
      </c>
      <c r="H104" s="175"/>
      <c r="I104" s="149" t="s">
        <v>962</v>
      </c>
      <c r="J104" s="153" t="s">
        <v>942</v>
      </c>
      <c r="K104" s="149">
        <v>46</v>
      </c>
      <c r="L104" s="130">
        <f t="shared" si="3"/>
        <v>46</v>
      </c>
      <c r="M104" s="18"/>
      <c r="N104" s="18"/>
      <c r="O104" s="18"/>
      <c r="P104" s="17"/>
      <c r="Q104" s="17"/>
      <c r="R104" s="17"/>
      <c r="S104" s="17"/>
    </row>
    <row r="105" spans="1:19" ht="9.9499999999999993" customHeight="1">
      <c r="A105" s="237"/>
      <c r="B105" s="237"/>
      <c r="C105" s="22">
        <v>96</v>
      </c>
      <c r="E105" s="108" t="s">
        <v>1066</v>
      </c>
      <c r="F105" s="181"/>
      <c r="G105" s="131" t="s">
        <v>943</v>
      </c>
      <c r="H105" s="175"/>
      <c r="I105" s="149" t="s">
        <v>956</v>
      </c>
      <c r="J105" s="153" t="s">
        <v>942</v>
      </c>
      <c r="K105" s="149">
        <v>76</v>
      </c>
      <c r="L105" s="130">
        <f t="shared" si="3"/>
        <v>76</v>
      </c>
      <c r="M105" s="18"/>
      <c r="N105" s="18"/>
      <c r="O105" s="18"/>
      <c r="P105" s="17"/>
      <c r="Q105" s="17"/>
      <c r="R105" s="17"/>
      <c r="S105" s="17"/>
    </row>
    <row r="106" spans="1:19" ht="9.9499999999999993" customHeight="1">
      <c r="A106" s="237"/>
      <c r="B106" s="237"/>
      <c r="C106" s="22">
        <v>97</v>
      </c>
      <c r="E106" s="33" t="s">
        <v>1066</v>
      </c>
      <c r="F106" s="181"/>
      <c r="G106" s="133" t="s">
        <v>1221</v>
      </c>
      <c r="H106" s="175"/>
      <c r="I106" s="138" t="s">
        <v>957</v>
      </c>
      <c r="J106" s="129" t="s">
        <v>942</v>
      </c>
      <c r="K106" s="129">
        <v>2</v>
      </c>
      <c r="L106" s="130">
        <f t="shared" si="3"/>
        <v>2</v>
      </c>
      <c r="M106" s="18"/>
      <c r="N106" s="18"/>
      <c r="O106" s="18"/>
      <c r="P106" s="19"/>
      <c r="Q106" s="17"/>
      <c r="R106" s="17"/>
      <c r="S106" s="17"/>
    </row>
    <row r="107" spans="1:19" ht="9.9499999999999993" customHeight="1">
      <c r="A107" s="237"/>
      <c r="B107" s="237"/>
      <c r="C107" s="22">
        <v>98</v>
      </c>
      <c r="E107" s="33" t="s">
        <v>1115</v>
      </c>
      <c r="F107" s="182"/>
      <c r="G107" s="127" t="s">
        <v>949</v>
      </c>
      <c r="H107" s="175"/>
      <c r="I107" s="128" t="s">
        <v>1064</v>
      </c>
      <c r="J107" s="129" t="s">
        <v>942</v>
      </c>
      <c r="K107" s="129">
        <v>26</v>
      </c>
      <c r="L107" s="130">
        <f t="shared" si="3"/>
        <v>26</v>
      </c>
      <c r="M107" s="18"/>
      <c r="N107" s="18"/>
      <c r="O107" s="18"/>
      <c r="P107" s="19"/>
      <c r="Q107" s="17"/>
      <c r="R107" s="17"/>
      <c r="S107" s="17"/>
    </row>
    <row r="108" spans="1:19" ht="9.9499999999999993" customHeight="1">
      <c r="A108" s="237"/>
      <c r="B108" s="237"/>
      <c r="C108" s="22">
        <v>99</v>
      </c>
      <c r="E108" s="72" t="s">
        <v>297</v>
      </c>
      <c r="F108" s="182"/>
      <c r="G108" s="164" t="s">
        <v>298</v>
      </c>
      <c r="H108" s="175"/>
      <c r="I108" s="165" t="s">
        <v>928</v>
      </c>
      <c r="J108" s="165" t="s">
        <v>942</v>
      </c>
      <c r="K108" s="165">
        <v>4</v>
      </c>
      <c r="L108" s="130">
        <f t="shared" si="3"/>
        <v>4</v>
      </c>
      <c r="M108" s="18"/>
      <c r="N108" s="18"/>
      <c r="O108" s="18"/>
      <c r="P108" s="19"/>
      <c r="Q108" s="17"/>
      <c r="R108" s="17"/>
      <c r="S108" s="17"/>
    </row>
    <row r="109" spans="1:19" ht="9.9499999999999993" customHeight="1">
      <c r="A109" s="237"/>
      <c r="B109" s="237"/>
      <c r="C109" s="22">
        <v>100</v>
      </c>
      <c r="E109" s="72" t="s">
        <v>64</v>
      </c>
      <c r="F109" s="182"/>
      <c r="G109" s="164" t="s">
        <v>299</v>
      </c>
      <c r="H109" s="175"/>
      <c r="I109" s="165" t="s">
        <v>92</v>
      </c>
      <c r="J109" s="165" t="s">
        <v>942</v>
      </c>
      <c r="K109" s="165">
        <v>45</v>
      </c>
      <c r="L109" s="130">
        <f t="shared" si="3"/>
        <v>45</v>
      </c>
      <c r="M109" s="18"/>
      <c r="N109" s="18"/>
      <c r="O109" s="18"/>
      <c r="P109" s="19"/>
      <c r="Q109" s="17"/>
      <c r="R109" s="17"/>
      <c r="S109" s="17"/>
    </row>
    <row r="110" spans="1:19" ht="9.9499999999999993" customHeight="1">
      <c r="A110" s="237"/>
      <c r="B110" s="237"/>
      <c r="C110" s="22">
        <v>101</v>
      </c>
      <c r="E110" s="72" t="s">
        <v>1146</v>
      </c>
      <c r="F110" s="183"/>
      <c r="G110" s="164" t="s">
        <v>1147</v>
      </c>
      <c r="H110" s="175"/>
      <c r="I110" s="165" t="s">
        <v>1100</v>
      </c>
      <c r="J110" s="165" t="s">
        <v>942</v>
      </c>
      <c r="K110" s="165">
        <v>0</v>
      </c>
      <c r="L110" s="130">
        <f t="shared" si="3"/>
        <v>0</v>
      </c>
      <c r="M110" s="18"/>
      <c r="N110" s="18"/>
      <c r="O110" s="18"/>
      <c r="P110" s="19"/>
      <c r="Q110" s="17"/>
      <c r="R110" s="17"/>
      <c r="S110" s="17"/>
    </row>
    <row r="111" spans="1:19" ht="9.9499999999999993" customHeight="1">
      <c r="A111" s="237"/>
      <c r="B111" s="237"/>
      <c r="C111" s="22">
        <v>102</v>
      </c>
      <c r="E111" s="72" t="s">
        <v>64</v>
      </c>
      <c r="F111" s="184"/>
      <c r="G111" s="164" t="s">
        <v>300</v>
      </c>
      <c r="H111" s="146"/>
      <c r="I111" s="165" t="s">
        <v>51</v>
      </c>
      <c r="J111" s="165" t="s">
        <v>942</v>
      </c>
      <c r="K111" s="165">
        <v>0</v>
      </c>
      <c r="L111" s="130">
        <f t="shared" si="3"/>
        <v>0</v>
      </c>
      <c r="M111" s="18"/>
      <c r="N111" s="18"/>
      <c r="O111" s="18"/>
      <c r="P111" s="19"/>
      <c r="Q111" s="17"/>
      <c r="R111" s="17"/>
      <c r="S111" s="17"/>
    </row>
    <row r="112" spans="1:19" ht="9.9499999999999993" customHeight="1">
      <c r="A112" s="237"/>
      <c r="B112" s="237"/>
      <c r="C112" s="22">
        <v>103</v>
      </c>
      <c r="E112" s="33" t="s">
        <v>1149</v>
      </c>
      <c r="F112" s="184"/>
      <c r="G112" s="133" t="s">
        <v>134</v>
      </c>
      <c r="H112" s="146"/>
      <c r="I112" s="138" t="s">
        <v>1212</v>
      </c>
      <c r="J112" s="153" t="s">
        <v>942</v>
      </c>
      <c r="K112" s="129">
        <v>2</v>
      </c>
      <c r="L112" s="130">
        <f t="shared" si="3"/>
        <v>2</v>
      </c>
      <c r="M112" s="18"/>
      <c r="N112" s="18"/>
      <c r="O112" s="18"/>
      <c r="P112" s="19"/>
      <c r="Q112" s="17"/>
      <c r="R112" s="17"/>
      <c r="S112" s="17"/>
    </row>
    <row r="113" spans="1:19" ht="9.9499999999999993" customHeight="1">
      <c r="A113" s="237"/>
      <c r="B113" s="237"/>
      <c r="C113" s="22">
        <v>104</v>
      </c>
      <c r="E113" s="33" t="s">
        <v>1067</v>
      </c>
      <c r="F113" s="181"/>
      <c r="G113" s="141" t="s">
        <v>301</v>
      </c>
      <c r="H113" s="175"/>
      <c r="I113" s="143" t="s">
        <v>1197</v>
      </c>
      <c r="J113" s="153" t="s">
        <v>942</v>
      </c>
      <c r="K113" s="129">
        <v>84</v>
      </c>
      <c r="L113" s="130">
        <f t="shared" si="3"/>
        <v>84</v>
      </c>
      <c r="M113" s="18"/>
      <c r="N113" s="18"/>
      <c r="O113" s="18"/>
      <c r="P113" s="19"/>
      <c r="Q113" s="17"/>
      <c r="R113" s="17"/>
      <c r="S113" s="17"/>
    </row>
    <row r="114" spans="1:19" ht="9.9499999999999993" customHeight="1">
      <c r="A114" s="237"/>
      <c r="B114" s="237"/>
      <c r="C114" s="22">
        <v>105</v>
      </c>
      <c r="E114" s="33" t="s">
        <v>1149</v>
      </c>
      <c r="F114" s="185"/>
      <c r="G114" s="133" t="s">
        <v>575</v>
      </c>
      <c r="H114" s="175"/>
      <c r="I114" s="138" t="s">
        <v>576</v>
      </c>
      <c r="J114" s="129" t="s">
        <v>942</v>
      </c>
      <c r="K114" s="129">
        <v>2</v>
      </c>
      <c r="L114" s="130">
        <f t="shared" si="3"/>
        <v>2</v>
      </c>
      <c r="M114" s="18"/>
      <c r="N114" s="18"/>
      <c r="O114" s="18"/>
      <c r="P114" s="19"/>
      <c r="Q114" s="17"/>
      <c r="R114" s="17"/>
      <c r="S114" s="17"/>
    </row>
    <row r="115" spans="1:19" ht="9.9499999999999993" customHeight="1">
      <c r="A115" s="237"/>
      <c r="B115" s="237"/>
      <c r="C115" s="22">
        <v>106</v>
      </c>
      <c r="E115" s="33" t="s">
        <v>64</v>
      </c>
      <c r="F115" s="186"/>
      <c r="G115" s="133" t="s">
        <v>302</v>
      </c>
      <c r="H115" s="175"/>
      <c r="I115" s="138" t="s">
        <v>749</v>
      </c>
      <c r="J115" s="129" t="s">
        <v>942</v>
      </c>
      <c r="K115" s="129">
        <v>6</v>
      </c>
      <c r="L115" s="130">
        <f t="shared" si="3"/>
        <v>6</v>
      </c>
      <c r="M115" s="18"/>
      <c r="N115" s="18"/>
      <c r="O115" s="18"/>
      <c r="P115" s="19"/>
      <c r="Q115" s="17"/>
      <c r="R115" s="17"/>
      <c r="S115" s="17"/>
    </row>
    <row r="116" spans="1:19" ht="9.9499999999999993" customHeight="1">
      <c r="A116" s="237"/>
      <c r="B116" s="237"/>
      <c r="C116" s="22">
        <v>107</v>
      </c>
      <c r="E116" s="124" t="s">
        <v>1067</v>
      </c>
      <c r="F116" s="187"/>
      <c r="G116" s="188" t="s">
        <v>767</v>
      </c>
      <c r="H116" s="189"/>
      <c r="I116" s="190" t="s">
        <v>768</v>
      </c>
      <c r="J116" s="190" t="s">
        <v>942</v>
      </c>
      <c r="K116" s="190">
        <v>18</v>
      </c>
      <c r="L116" s="191">
        <f t="shared" si="3"/>
        <v>18</v>
      </c>
      <c r="M116" s="23"/>
      <c r="N116" s="23"/>
      <c r="O116" s="23"/>
      <c r="P116" s="19"/>
      <c r="Q116" s="17"/>
      <c r="R116" s="17"/>
      <c r="S116" s="17"/>
    </row>
    <row r="117" spans="1:19" ht="9.9499999999999993" customHeight="1">
      <c r="A117" s="237"/>
      <c r="B117" s="237"/>
      <c r="C117" s="22">
        <v>108</v>
      </c>
      <c r="D117" s="125"/>
      <c r="E117" s="55" t="s">
        <v>1112</v>
      </c>
      <c r="F117" s="161"/>
      <c r="G117" s="141" t="s">
        <v>303</v>
      </c>
      <c r="H117" s="161"/>
      <c r="I117" s="143" t="s">
        <v>774</v>
      </c>
      <c r="J117" s="143" t="s">
        <v>942</v>
      </c>
      <c r="K117" s="143">
        <v>12</v>
      </c>
      <c r="L117" s="161"/>
      <c r="M117" s="21"/>
      <c r="N117" s="21"/>
      <c r="O117" s="21"/>
      <c r="P117" s="17"/>
      <c r="Q117" s="17"/>
      <c r="R117" s="17"/>
      <c r="S117" s="17"/>
    </row>
    <row r="118" spans="1:19" ht="9.9499999999999993" customHeight="1">
      <c r="A118" s="237"/>
      <c r="B118" s="237"/>
      <c r="C118" s="22">
        <v>109</v>
      </c>
      <c r="D118" s="125"/>
      <c r="E118" s="33" t="s">
        <v>1113</v>
      </c>
      <c r="F118" s="161"/>
      <c r="G118" s="133" t="s">
        <v>775</v>
      </c>
      <c r="H118" s="161"/>
      <c r="I118" s="129" t="s">
        <v>776</v>
      </c>
      <c r="J118" s="129" t="s">
        <v>942</v>
      </c>
      <c r="K118" s="129">
        <v>12</v>
      </c>
      <c r="L118" s="161"/>
      <c r="M118" s="21"/>
      <c r="N118" s="21"/>
      <c r="O118" s="21"/>
    </row>
    <row r="119" spans="1:19" ht="9.9499999999999993" customHeight="1">
      <c r="A119" s="237"/>
      <c r="B119" s="237"/>
      <c r="C119" s="22">
        <v>110</v>
      </c>
      <c r="D119" s="125"/>
      <c r="E119" s="75" t="s">
        <v>1066</v>
      </c>
      <c r="F119" s="161"/>
      <c r="G119" s="192" t="s">
        <v>304</v>
      </c>
      <c r="H119" s="161"/>
      <c r="I119" s="138" t="s">
        <v>766</v>
      </c>
      <c r="J119" s="138" t="s">
        <v>942</v>
      </c>
      <c r="K119" s="138">
        <v>18</v>
      </c>
      <c r="L119" s="161"/>
      <c r="M119" s="21"/>
      <c r="N119" s="21"/>
      <c r="O119" s="21"/>
    </row>
    <row r="120" spans="1:19" ht="9.9499999999999993" customHeight="1">
      <c r="A120" s="237"/>
      <c r="B120" s="237"/>
      <c r="C120" s="22">
        <v>111</v>
      </c>
      <c r="D120" s="125"/>
      <c r="E120" s="33" t="s">
        <v>64</v>
      </c>
      <c r="F120" s="161"/>
      <c r="G120" s="131" t="s">
        <v>305</v>
      </c>
      <c r="H120" s="161"/>
      <c r="I120" s="129" t="s">
        <v>925</v>
      </c>
      <c r="J120" s="129" t="s">
        <v>942</v>
      </c>
      <c r="K120" s="129">
        <v>2</v>
      </c>
      <c r="L120" s="161"/>
      <c r="M120" s="21"/>
      <c r="N120" s="21"/>
      <c r="O120" s="21"/>
    </row>
    <row r="121" spans="1:19" ht="9.9499999999999993" customHeight="1">
      <c r="A121" s="237"/>
      <c r="B121" s="237"/>
      <c r="C121" s="22">
        <v>112</v>
      </c>
      <c r="D121" s="125"/>
      <c r="E121" s="33" t="s">
        <v>64</v>
      </c>
      <c r="F121" s="161"/>
      <c r="G121" s="127" t="s">
        <v>306</v>
      </c>
      <c r="H121" s="161"/>
      <c r="I121" s="128" t="s">
        <v>1058</v>
      </c>
      <c r="J121" s="129" t="s">
        <v>942</v>
      </c>
      <c r="K121" s="129">
        <v>64</v>
      </c>
      <c r="L121" s="161"/>
      <c r="M121" s="21"/>
      <c r="N121" s="21"/>
      <c r="O121" s="21"/>
    </row>
    <row r="122" spans="1:19" ht="9.9499999999999993" customHeight="1">
      <c r="A122" s="237"/>
      <c r="B122" s="237"/>
      <c r="C122" s="22">
        <v>113</v>
      </c>
      <c r="D122" s="125"/>
      <c r="E122" s="33" t="s">
        <v>1149</v>
      </c>
      <c r="F122" s="161"/>
      <c r="G122" s="133" t="s">
        <v>950</v>
      </c>
      <c r="H122" s="161"/>
      <c r="I122" s="129" t="s">
        <v>1240</v>
      </c>
      <c r="J122" s="129" t="s">
        <v>942</v>
      </c>
      <c r="K122" s="129">
        <v>86</v>
      </c>
      <c r="L122" s="161"/>
      <c r="M122" s="21"/>
      <c r="N122" s="21"/>
      <c r="O122" s="21"/>
    </row>
    <row r="123" spans="1:19" ht="9.9499999999999993" customHeight="1">
      <c r="A123" s="237"/>
      <c r="B123" s="237"/>
      <c r="C123" s="22">
        <v>114</v>
      </c>
      <c r="D123" s="125"/>
      <c r="E123" s="50" t="s">
        <v>1130</v>
      </c>
      <c r="F123" s="161"/>
      <c r="G123" s="139" t="s">
        <v>307</v>
      </c>
      <c r="H123" s="161"/>
      <c r="I123" s="140" t="s">
        <v>1099</v>
      </c>
      <c r="J123" s="140" t="s">
        <v>942</v>
      </c>
      <c r="K123" s="140">
        <v>0</v>
      </c>
      <c r="L123" s="161"/>
      <c r="M123" s="21"/>
      <c r="N123" s="21"/>
      <c r="O123" s="21"/>
    </row>
    <row r="124" spans="1:19" ht="9.9499999999999993" customHeight="1">
      <c r="A124" s="237"/>
      <c r="B124" s="237"/>
      <c r="C124" s="22">
        <v>115</v>
      </c>
      <c r="D124" s="125"/>
      <c r="E124" s="50" t="s">
        <v>1114</v>
      </c>
      <c r="F124" s="161"/>
      <c r="G124" s="139" t="s">
        <v>308</v>
      </c>
      <c r="H124" s="161"/>
      <c r="I124" s="140" t="s">
        <v>1063</v>
      </c>
      <c r="J124" s="140" t="s">
        <v>942</v>
      </c>
      <c r="K124" s="140">
        <v>0</v>
      </c>
      <c r="L124" s="161"/>
      <c r="M124" s="21"/>
      <c r="N124" s="21"/>
      <c r="O124" s="21"/>
    </row>
    <row r="125" spans="1:19" ht="9.9499999999999993" customHeight="1">
      <c r="A125" s="237"/>
      <c r="B125" s="237"/>
      <c r="C125" s="22">
        <v>116</v>
      </c>
      <c r="D125" s="125"/>
      <c r="E125" s="33" t="s">
        <v>1114</v>
      </c>
      <c r="F125" s="161"/>
      <c r="G125" s="133" t="s">
        <v>32</v>
      </c>
      <c r="H125" s="161"/>
      <c r="I125" s="129" t="s">
        <v>1053</v>
      </c>
      <c r="J125" s="129" t="s">
        <v>942</v>
      </c>
      <c r="K125" s="129">
        <v>339</v>
      </c>
      <c r="L125" s="161"/>
      <c r="M125" s="21"/>
      <c r="N125" s="21"/>
      <c r="O125" s="21"/>
    </row>
    <row r="126" spans="1:19" ht="9.9499999999999993" customHeight="1">
      <c r="A126" s="237"/>
      <c r="B126" s="237"/>
      <c r="C126" s="22">
        <v>117</v>
      </c>
      <c r="D126" s="125"/>
      <c r="E126" s="33" t="s">
        <v>1067</v>
      </c>
      <c r="F126" s="161"/>
      <c r="G126" s="127" t="s">
        <v>944</v>
      </c>
      <c r="H126" s="161"/>
      <c r="I126" s="128" t="s">
        <v>959</v>
      </c>
      <c r="J126" s="129" t="s">
        <v>942</v>
      </c>
      <c r="K126" s="129">
        <v>784</v>
      </c>
      <c r="L126" s="161"/>
      <c r="M126" s="21"/>
      <c r="N126" s="21"/>
      <c r="O126" s="21"/>
    </row>
    <row r="127" spans="1:19" ht="9.9499999999999993" customHeight="1">
      <c r="A127" s="237"/>
      <c r="B127" s="237"/>
      <c r="C127" s="22">
        <v>118</v>
      </c>
      <c r="D127" s="125"/>
      <c r="E127" s="33" t="s">
        <v>1112</v>
      </c>
      <c r="F127" s="161"/>
      <c r="G127" s="127" t="s">
        <v>309</v>
      </c>
      <c r="H127" s="161"/>
      <c r="I127" s="128" t="s">
        <v>1060</v>
      </c>
      <c r="J127" s="129" t="s">
        <v>942</v>
      </c>
      <c r="K127" s="129">
        <v>0</v>
      </c>
      <c r="L127" s="161"/>
      <c r="M127" s="21"/>
      <c r="N127" s="21"/>
      <c r="O127" s="21"/>
    </row>
    <row r="128" spans="1:19" ht="9.9499999999999993" customHeight="1">
      <c r="A128" s="237"/>
      <c r="B128" s="237"/>
      <c r="C128" s="22">
        <v>119</v>
      </c>
      <c r="D128" s="125"/>
      <c r="E128" s="33" t="s">
        <v>1112</v>
      </c>
      <c r="F128" s="161"/>
      <c r="G128" s="131" t="s">
        <v>29</v>
      </c>
      <c r="H128" s="161"/>
      <c r="I128" s="129" t="s">
        <v>1050</v>
      </c>
      <c r="J128" s="129" t="s">
        <v>942</v>
      </c>
      <c r="K128" s="129">
        <v>193</v>
      </c>
      <c r="L128" s="161"/>
      <c r="M128" s="21"/>
      <c r="N128" s="21"/>
      <c r="O128" s="21"/>
    </row>
    <row r="129" spans="1:15" ht="9.9499999999999993" customHeight="1">
      <c r="A129" s="237"/>
      <c r="B129" s="237"/>
      <c r="C129" s="22">
        <v>120</v>
      </c>
      <c r="D129" s="125"/>
      <c r="E129" s="33" t="s">
        <v>1113</v>
      </c>
      <c r="F129" s="161"/>
      <c r="G129" s="127" t="s">
        <v>947</v>
      </c>
      <c r="H129" s="161"/>
      <c r="I129" s="129" t="s">
        <v>1061</v>
      </c>
      <c r="J129" s="129" t="s">
        <v>942</v>
      </c>
      <c r="K129" s="129">
        <v>260</v>
      </c>
      <c r="L129" s="161"/>
      <c r="M129" s="21"/>
      <c r="N129" s="21"/>
      <c r="O129" s="21"/>
    </row>
    <row r="130" spans="1:15" ht="9.9499999999999993" customHeight="1">
      <c r="A130" s="237"/>
      <c r="B130" s="237"/>
      <c r="C130" s="22">
        <v>121</v>
      </c>
      <c r="D130" s="125"/>
      <c r="E130" s="33" t="s">
        <v>1150</v>
      </c>
      <c r="F130" s="161"/>
      <c r="G130" s="127" t="s">
        <v>1151</v>
      </c>
      <c r="H130" s="161"/>
      <c r="I130" s="138" t="s">
        <v>1242</v>
      </c>
      <c r="J130" s="129" t="s">
        <v>942</v>
      </c>
      <c r="K130" s="129">
        <v>0</v>
      </c>
      <c r="L130" s="161"/>
      <c r="M130" s="21"/>
      <c r="N130" s="21"/>
      <c r="O130" s="21"/>
    </row>
    <row r="131" spans="1:15" ht="9.9499999999999993" customHeight="1">
      <c r="A131" s="237"/>
      <c r="B131" s="237"/>
      <c r="C131" s="22">
        <v>122</v>
      </c>
      <c r="D131" s="125"/>
      <c r="E131" s="33" t="s">
        <v>1066</v>
      </c>
      <c r="F131" s="161"/>
      <c r="G131" s="133" t="s">
        <v>310</v>
      </c>
      <c r="H131" s="161"/>
      <c r="I131" s="138" t="s">
        <v>958</v>
      </c>
      <c r="J131" s="129" t="s">
        <v>942</v>
      </c>
      <c r="K131" s="129">
        <v>2</v>
      </c>
      <c r="L131" s="161"/>
      <c r="M131" s="21"/>
      <c r="N131" s="21"/>
      <c r="O131" s="21"/>
    </row>
    <row r="132" spans="1:15" ht="9.9499999999999993" customHeight="1">
      <c r="A132" s="237"/>
      <c r="B132" s="237"/>
      <c r="C132" s="22">
        <v>123</v>
      </c>
      <c r="D132" s="125"/>
      <c r="E132" s="33" t="s">
        <v>1066</v>
      </c>
      <c r="F132" s="161"/>
      <c r="G132" s="131" t="s">
        <v>22</v>
      </c>
      <c r="H132" s="161"/>
      <c r="I132" s="129" t="s">
        <v>1046</v>
      </c>
      <c r="J132" s="129" t="s">
        <v>942</v>
      </c>
      <c r="K132" s="129">
        <v>212</v>
      </c>
      <c r="L132" s="161"/>
      <c r="M132" s="21"/>
      <c r="N132" s="21"/>
      <c r="O132" s="21"/>
    </row>
    <row r="133" spans="1:15" ht="9.9499999999999993" customHeight="1">
      <c r="A133" s="237"/>
      <c r="B133" s="237"/>
      <c r="C133" s="22">
        <v>124</v>
      </c>
      <c r="D133" s="125"/>
      <c r="E133" s="108" t="s">
        <v>1066</v>
      </c>
      <c r="F133" s="161"/>
      <c r="G133" s="193" t="s">
        <v>311</v>
      </c>
      <c r="H133" s="161"/>
      <c r="I133" s="194" t="s">
        <v>1080</v>
      </c>
      <c r="J133" s="129" t="s">
        <v>942</v>
      </c>
      <c r="K133" s="149">
        <v>2</v>
      </c>
      <c r="L133" s="161"/>
      <c r="M133" s="21"/>
      <c r="N133" s="21"/>
      <c r="O133" s="21"/>
    </row>
    <row r="134" spans="1:15" ht="9.9499999999999993" customHeight="1">
      <c r="A134" s="237"/>
      <c r="B134" s="237"/>
      <c r="C134" s="22">
        <v>125</v>
      </c>
      <c r="D134" s="125"/>
      <c r="E134" s="108" t="s">
        <v>1066</v>
      </c>
      <c r="F134" s="161"/>
      <c r="G134" s="193" t="s">
        <v>23</v>
      </c>
      <c r="H134" s="161"/>
      <c r="I134" s="194" t="s">
        <v>1047</v>
      </c>
      <c r="J134" s="129" t="s">
        <v>942</v>
      </c>
      <c r="K134" s="149">
        <v>104</v>
      </c>
      <c r="L134" s="161"/>
      <c r="M134" s="21"/>
      <c r="N134" s="21"/>
      <c r="O134" s="21"/>
    </row>
    <row r="135" spans="1:15" ht="9.9499999999999993" customHeight="1">
      <c r="A135" s="237"/>
      <c r="B135" s="237"/>
      <c r="C135" s="22">
        <v>126</v>
      </c>
      <c r="D135" s="125"/>
      <c r="E135" s="33" t="s">
        <v>24</v>
      </c>
      <c r="F135" s="161"/>
      <c r="G135" s="195" t="s">
        <v>135</v>
      </c>
      <c r="H135" s="161"/>
      <c r="I135" s="196" t="s">
        <v>132</v>
      </c>
      <c r="J135" s="196" t="s">
        <v>942</v>
      </c>
      <c r="K135" s="129">
        <v>4</v>
      </c>
      <c r="L135" s="161"/>
      <c r="M135" s="21"/>
      <c r="N135" s="21"/>
      <c r="O135" s="21"/>
    </row>
    <row r="136" spans="1:15" ht="9.9499999999999993" customHeight="1">
      <c r="A136" s="237"/>
      <c r="B136" s="237"/>
      <c r="C136" s="22">
        <v>127</v>
      </c>
      <c r="D136" s="125"/>
      <c r="E136" s="33" t="s">
        <v>1115</v>
      </c>
      <c r="F136" s="161"/>
      <c r="G136" s="127" t="s">
        <v>312</v>
      </c>
      <c r="H136" s="161"/>
      <c r="I136" s="132" t="s">
        <v>1065</v>
      </c>
      <c r="J136" s="196" t="s">
        <v>942</v>
      </c>
      <c r="K136" s="129">
        <v>0</v>
      </c>
      <c r="L136" s="161"/>
      <c r="M136" s="21"/>
      <c r="N136" s="21"/>
      <c r="O136" s="21"/>
    </row>
    <row r="137" spans="1:15" ht="9.9499999999999993" customHeight="1">
      <c r="A137" s="237"/>
      <c r="B137" s="237"/>
      <c r="C137" s="22">
        <v>128</v>
      </c>
      <c r="D137" s="125"/>
      <c r="E137" s="33" t="s">
        <v>1115</v>
      </c>
      <c r="F137" s="161"/>
      <c r="G137" s="133" t="s">
        <v>34</v>
      </c>
      <c r="H137" s="161"/>
      <c r="I137" s="129" t="s">
        <v>1055</v>
      </c>
      <c r="J137" s="129" t="s">
        <v>942</v>
      </c>
      <c r="K137" s="129">
        <v>95</v>
      </c>
      <c r="L137" s="161"/>
      <c r="M137" s="21"/>
      <c r="N137" s="21"/>
      <c r="O137" s="21"/>
    </row>
    <row r="138" spans="1:15" ht="9.9499999999999993" customHeight="1">
      <c r="A138" s="237"/>
      <c r="B138" s="237"/>
      <c r="C138" s="22">
        <v>129</v>
      </c>
      <c r="D138" s="125"/>
      <c r="E138" s="33" t="s">
        <v>39</v>
      </c>
      <c r="F138" s="161"/>
      <c r="G138" s="136" t="s">
        <v>40</v>
      </c>
      <c r="H138" s="161"/>
      <c r="I138" s="132" t="s">
        <v>41</v>
      </c>
      <c r="J138" s="137" t="s">
        <v>942</v>
      </c>
      <c r="K138" s="129">
        <v>28</v>
      </c>
      <c r="L138" s="161"/>
      <c r="M138" s="21"/>
      <c r="N138" s="21"/>
      <c r="O138" s="21"/>
    </row>
    <row r="139" spans="1:15" ht="9.9499999999999993" customHeight="1">
      <c r="A139" s="237"/>
      <c r="B139" s="237"/>
      <c r="C139" s="22">
        <v>130</v>
      </c>
      <c r="D139" s="125"/>
      <c r="E139" s="33" t="s">
        <v>1114</v>
      </c>
      <c r="F139" s="161"/>
      <c r="G139" s="131" t="s">
        <v>33</v>
      </c>
      <c r="H139" s="161"/>
      <c r="I139" s="129" t="s">
        <v>91</v>
      </c>
      <c r="J139" s="129" t="s">
        <v>942</v>
      </c>
      <c r="K139" s="129">
        <v>172</v>
      </c>
      <c r="L139" s="161"/>
      <c r="M139" s="21"/>
      <c r="N139" s="21"/>
      <c r="O139" s="21"/>
    </row>
    <row r="140" spans="1:15" ht="9.9499999999999993" customHeight="1">
      <c r="A140" s="237"/>
      <c r="B140" s="237"/>
      <c r="C140" s="22">
        <v>131</v>
      </c>
      <c r="D140" s="125"/>
      <c r="E140" s="33" t="s">
        <v>1112</v>
      </c>
      <c r="F140" s="161"/>
      <c r="G140" s="131" t="s">
        <v>30</v>
      </c>
      <c r="H140" s="161"/>
      <c r="I140" s="129" t="s">
        <v>1051</v>
      </c>
      <c r="J140" s="129" t="s">
        <v>942</v>
      </c>
      <c r="K140" s="129">
        <v>76</v>
      </c>
      <c r="L140" s="161"/>
      <c r="M140" s="21"/>
      <c r="N140" s="21"/>
      <c r="O140" s="21"/>
    </row>
    <row r="141" spans="1:15" ht="9.9499999999999993" customHeight="1">
      <c r="A141" s="237"/>
      <c r="B141" s="237"/>
      <c r="C141" s="22">
        <v>132</v>
      </c>
      <c r="D141" s="125"/>
      <c r="E141" s="50" t="s">
        <v>1066</v>
      </c>
      <c r="F141" s="161"/>
      <c r="G141" s="139" t="s">
        <v>26</v>
      </c>
      <c r="H141" s="161"/>
      <c r="I141" s="140" t="s">
        <v>1048</v>
      </c>
      <c r="J141" s="140" t="s">
        <v>942</v>
      </c>
      <c r="K141" s="140">
        <v>140</v>
      </c>
      <c r="L141" s="161"/>
      <c r="M141" s="21"/>
      <c r="N141" s="21"/>
      <c r="O141" s="21"/>
    </row>
    <row r="142" spans="1:15" ht="9.9499999999999993" customHeight="1">
      <c r="A142" s="237"/>
      <c r="B142" s="237"/>
      <c r="C142" s="22">
        <v>133</v>
      </c>
      <c r="D142" s="125"/>
      <c r="E142" s="50" t="s">
        <v>1066</v>
      </c>
      <c r="F142" s="161"/>
      <c r="G142" s="139" t="s">
        <v>27</v>
      </c>
      <c r="H142" s="161"/>
      <c r="I142" s="140" t="s">
        <v>28</v>
      </c>
      <c r="J142" s="140" t="s">
        <v>942</v>
      </c>
      <c r="K142" s="140">
        <v>24</v>
      </c>
      <c r="L142" s="161"/>
      <c r="M142" s="21"/>
      <c r="N142" s="21"/>
      <c r="O142" s="21"/>
    </row>
    <row r="143" spans="1:15" ht="9.9499999999999993" customHeight="1">
      <c r="A143" s="237"/>
      <c r="B143" s="237"/>
      <c r="C143" s="22">
        <v>134</v>
      </c>
      <c r="D143" s="125"/>
      <c r="E143" s="33" t="s">
        <v>1115</v>
      </c>
      <c r="F143" s="161"/>
      <c r="G143" s="133" t="s">
        <v>35</v>
      </c>
      <c r="H143" s="161"/>
      <c r="I143" s="129" t="s">
        <v>36</v>
      </c>
      <c r="J143" s="129" t="s">
        <v>942</v>
      </c>
      <c r="K143" s="129">
        <v>68</v>
      </c>
      <c r="L143" s="161"/>
      <c r="M143" s="21"/>
      <c r="N143" s="21"/>
      <c r="O143" s="21"/>
    </row>
    <row r="144" spans="1:15" ht="9.9499999999999993" customHeight="1">
      <c r="A144" s="237"/>
      <c r="B144" s="237"/>
      <c r="C144" s="22">
        <v>135</v>
      </c>
      <c r="D144" s="125"/>
      <c r="E144" s="33" t="s">
        <v>39</v>
      </c>
      <c r="F144" s="161"/>
      <c r="G144" s="133" t="s">
        <v>42</v>
      </c>
      <c r="H144" s="161"/>
      <c r="I144" s="129" t="s">
        <v>43</v>
      </c>
      <c r="J144" s="129" t="s">
        <v>942</v>
      </c>
      <c r="K144" s="129">
        <v>20</v>
      </c>
      <c r="L144" s="161"/>
      <c r="M144" s="21"/>
      <c r="N144" s="21"/>
      <c r="O144" s="21"/>
    </row>
    <row r="145" spans="1:15" ht="9.9499999999999993" customHeight="1">
      <c r="A145" s="237"/>
      <c r="B145" s="237"/>
      <c r="C145" s="22">
        <v>136</v>
      </c>
      <c r="D145" s="125"/>
      <c r="E145" s="108" t="s">
        <v>1146</v>
      </c>
      <c r="F145" s="161"/>
      <c r="G145" s="131" t="s">
        <v>44</v>
      </c>
      <c r="H145" s="161"/>
      <c r="I145" s="149" t="s">
        <v>1144</v>
      </c>
      <c r="J145" s="149" t="s">
        <v>942</v>
      </c>
      <c r="K145" s="149">
        <v>44</v>
      </c>
      <c r="L145" s="161"/>
      <c r="M145" s="21"/>
      <c r="N145" s="21"/>
      <c r="O145" s="21"/>
    </row>
    <row r="146" spans="1:15" ht="9.9499999999999993" customHeight="1">
      <c r="A146" s="237"/>
      <c r="B146" s="237"/>
      <c r="C146" s="22">
        <v>137</v>
      </c>
      <c r="D146" s="125"/>
      <c r="E146" s="108" t="s">
        <v>48</v>
      </c>
      <c r="F146" s="161"/>
      <c r="G146" s="131" t="s">
        <v>49</v>
      </c>
      <c r="H146" s="161"/>
      <c r="I146" s="149" t="s">
        <v>50</v>
      </c>
      <c r="J146" s="149" t="s">
        <v>942</v>
      </c>
      <c r="K146" s="149">
        <v>36</v>
      </c>
      <c r="L146" s="161"/>
      <c r="M146" s="21"/>
      <c r="N146" s="21"/>
      <c r="O146" s="21"/>
    </row>
    <row r="147" spans="1:15" ht="9.9499999999999993" customHeight="1">
      <c r="A147" s="237"/>
      <c r="B147" s="237"/>
      <c r="C147" s="22">
        <v>138</v>
      </c>
      <c r="D147" s="125"/>
      <c r="E147" s="33" t="s">
        <v>64</v>
      </c>
      <c r="F147" s="161"/>
      <c r="G147" s="127" t="s">
        <v>313</v>
      </c>
      <c r="H147" s="161"/>
      <c r="I147" s="128" t="s">
        <v>1230</v>
      </c>
      <c r="J147" s="129" t="s">
        <v>942</v>
      </c>
      <c r="K147" s="129">
        <v>0</v>
      </c>
      <c r="L147" s="161"/>
      <c r="M147" s="21"/>
      <c r="N147" s="21"/>
      <c r="O147" s="21"/>
    </row>
    <row r="148" spans="1:15" ht="9.9499999999999993" customHeight="1">
      <c r="A148" s="237"/>
      <c r="B148" s="237"/>
      <c r="C148" s="22">
        <v>139</v>
      </c>
      <c r="D148" s="125"/>
      <c r="E148" s="33" t="s">
        <v>64</v>
      </c>
      <c r="F148" s="161"/>
      <c r="G148" s="127" t="s">
        <v>314</v>
      </c>
      <c r="H148" s="161"/>
      <c r="I148" s="132" t="s">
        <v>1057</v>
      </c>
      <c r="J148" s="129" t="s">
        <v>942</v>
      </c>
      <c r="K148" s="129">
        <v>40</v>
      </c>
      <c r="L148" s="161"/>
      <c r="M148" s="21"/>
      <c r="N148" s="21"/>
      <c r="O148" s="21"/>
    </row>
    <row r="149" spans="1:15" ht="9.9499999999999993" customHeight="1">
      <c r="A149" s="237"/>
      <c r="B149" s="237"/>
      <c r="C149" s="22">
        <v>140</v>
      </c>
      <c r="D149" s="125"/>
      <c r="E149" s="33" t="s">
        <v>1149</v>
      </c>
      <c r="F149" s="161"/>
      <c r="G149" s="127" t="s">
        <v>951</v>
      </c>
      <c r="H149" s="161"/>
      <c r="I149" s="128" t="s">
        <v>1241</v>
      </c>
      <c r="J149" s="129" t="s">
        <v>942</v>
      </c>
      <c r="K149" s="129">
        <v>39</v>
      </c>
      <c r="L149" s="161"/>
      <c r="M149" s="21"/>
      <c r="N149" s="21"/>
      <c r="O149" s="21"/>
    </row>
    <row r="150" spans="1:15" ht="9.9499999999999993" customHeight="1">
      <c r="A150" s="237"/>
      <c r="B150" s="237"/>
      <c r="C150" s="22">
        <v>141</v>
      </c>
      <c r="D150" s="125"/>
      <c r="E150" s="33" t="s">
        <v>1114</v>
      </c>
      <c r="F150" s="161"/>
      <c r="G150" s="127" t="s">
        <v>315</v>
      </c>
      <c r="H150" s="161"/>
      <c r="I150" s="128" t="s">
        <v>1054</v>
      </c>
      <c r="J150" s="129" t="s">
        <v>942</v>
      </c>
      <c r="K150" s="129">
        <v>69</v>
      </c>
      <c r="L150" s="161"/>
      <c r="M150" s="21"/>
      <c r="N150" s="21"/>
      <c r="O150" s="21"/>
    </row>
    <row r="151" spans="1:15" ht="9.9499999999999993" customHeight="1">
      <c r="A151" s="237"/>
      <c r="B151" s="237"/>
      <c r="C151" s="22">
        <v>142</v>
      </c>
      <c r="D151" s="125"/>
      <c r="E151" s="33" t="s">
        <v>1067</v>
      </c>
      <c r="F151" s="161"/>
      <c r="G151" s="131" t="s">
        <v>945</v>
      </c>
      <c r="H151" s="161"/>
      <c r="I151" s="129" t="s">
        <v>961</v>
      </c>
      <c r="J151" s="129" t="s">
        <v>942</v>
      </c>
      <c r="K151" s="129">
        <v>591</v>
      </c>
      <c r="L151" s="161"/>
      <c r="M151" s="21"/>
      <c r="N151" s="21"/>
      <c r="O151" s="21"/>
    </row>
    <row r="152" spans="1:15" ht="9.9499999999999993" customHeight="1">
      <c r="A152" s="237"/>
      <c r="B152" s="237"/>
      <c r="C152" s="22">
        <v>143</v>
      </c>
      <c r="D152" s="125"/>
      <c r="E152" s="33" t="s">
        <v>1112</v>
      </c>
      <c r="F152" s="161"/>
      <c r="G152" s="131" t="s">
        <v>316</v>
      </c>
      <c r="H152" s="161"/>
      <c r="I152" s="129" t="s">
        <v>1052</v>
      </c>
      <c r="J152" s="129" t="s">
        <v>942</v>
      </c>
      <c r="K152" s="129">
        <v>47</v>
      </c>
      <c r="L152" s="161"/>
      <c r="M152" s="21"/>
      <c r="N152" s="21"/>
      <c r="O152" s="21"/>
    </row>
    <row r="153" spans="1:15" ht="9.9499999999999993" customHeight="1">
      <c r="A153" s="237"/>
      <c r="B153" s="237"/>
      <c r="C153" s="22">
        <v>144</v>
      </c>
      <c r="D153" s="125"/>
      <c r="E153" s="33" t="s">
        <v>1113</v>
      </c>
      <c r="F153" s="161"/>
      <c r="G153" s="127" t="s">
        <v>31</v>
      </c>
      <c r="H153" s="161"/>
      <c r="I153" s="128" t="s">
        <v>1232</v>
      </c>
      <c r="J153" s="129" t="s">
        <v>942</v>
      </c>
      <c r="K153" s="129">
        <v>143</v>
      </c>
      <c r="L153" s="161"/>
      <c r="M153" s="21"/>
      <c r="N153" s="21"/>
      <c r="O153" s="21"/>
    </row>
    <row r="154" spans="1:15" ht="9.9499999999999993" customHeight="1">
      <c r="A154" s="237"/>
      <c r="B154" s="237"/>
      <c r="C154" s="22">
        <v>145</v>
      </c>
      <c r="D154" s="125"/>
      <c r="E154" s="33" t="s">
        <v>1150</v>
      </c>
      <c r="F154" s="161"/>
      <c r="G154" s="127" t="s">
        <v>872</v>
      </c>
      <c r="H154" s="161"/>
      <c r="I154" s="128" t="s">
        <v>1225</v>
      </c>
      <c r="J154" s="129" t="s">
        <v>942</v>
      </c>
      <c r="K154" s="129">
        <v>0</v>
      </c>
      <c r="L154" s="161"/>
      <c r="M154" s="125"/>
      <c r="N154" s="125"/>
      <c r="O154" s="125"/>
    </row>
    <row r="155" spans="1:15" ht="9.9499999999999993" customHeight="1">
      <c r="A155" s="237"/>
      <c r="B155" s="237"/>
      <c r="C155" s="22">
        <v>146</v>
      </c>
      <c r="D155" s="125"/>
      <c r="E155" s="33" t="s">
        <v>1066</v>
      </c>
      <c r="F155" s="161"/>
      <c r="G155" s="127" t="s">
        <v>317</v>
      </c>
      <c r="H155" s="161"/>
      <c r="I155" s="128" t="s">
        <v>960</v>
      </c>
      <c r="J155" s="129" t="s">
        <v>942</v>
      </c>
      <c r="K155" s="129">
        <v>0</v>
      </c>
      <c r="L155" s="161"/>
      <c r="M155" s="125"/>
      <c r="N155" s="125"/>
      <c r="O155" s="125"/>
    </row>
    <row r="156" spans="1:15" ht="9.9499999999999993" customHeight="1">
      <c r="A156" s="237"/>
      <c r="B156" s="237"/>
      <c r="C156" s="22">
        <v>147</v>
      </c>
      <c r="D156" s="125"/>
      <c r="E156" s="33" t="s">
        <v>1066</v>
      </c>
      <c r="F156" s="161"/>
      <c r="G156" s="127" t="s">
        <v>318</v>
      </c>
      <c r="H156" s="161"/>
      <c r="I156" s="128" t="s">
        <v>1049</v>
      </c>
      <c r="J156" s="129" t="s">
        <v>942</v>
      </c>
      <c r="K156" s="129">
        <v>74</v>
      </c>
      <c r="L156" s="161"/>
      <c r="M156" s="125"/>
      <c r="N156" s="125"/>
      <c r="O156" s="125"/>
    </row>
    <row r="157" spans="1:15" ht="9.9499999999999993" customHeight="1">
      <c r="A157" s="237"/>
      <c r="B157" s="237"/>
      <c r="C157" s="22">
        <v>148</v>
      </c>
      <c r="D157" s="125"/>
      <c r="E157" s="33" t="s">
        <v>1115</v>
      </c>
      <c r="F157" s="161"/>
      <c r="G157" s="127" t="s">
        <v>319</v>
      </c>
      <c r="H157" s="161"/>
      <c r="I157" s="128" t="s">
        <v>1056</v>
      </c>
      <c r="J157" s="129" t="s">
        <v>942</v>
      </c>
      <c r="K157" s="129">
        <v>25</v>
      </c>
      <c r="L157" s="161"/>
      <c r="M157" s="125"/>
      <c r="N157" s="125"/>
      <c r="O157" s="125"/>
    </row>
    <row r="158" spans="1:15" ht="9.9499999999999993" customHeight="1">
      <c r="A158" s="237"/>
      <c r="B158" s="237"/>
      <c r="C158" s="22">
        <v>149</v>
      </c>
      <c r="D158" s="125"/>
      <c r="E158" s="33" t="s">
        <v>39</v>
      </c>
      <c r="F158" s="161"/>
      <c r="G158" s="127" t="s">
        <v>67</v>
      </c>
      <c r="H158" s="161"/>
      <c r="I158" s="132" t="s">
        <v>68</v>
      </c>
      <c r="J158" s="129" t="s">
        <v>942</v>
      </c>
      <c r="K158" s="129">
        <v>27</v>
      </c>
      <c r="L158" s="161"/>
      <c r="M158" s="125"/>
      <c r="N158" s="125"/>
      <c r="O158" s="125"/>
    </row>
    <row r="159" spans="1:15" ht="9.9499999999999993" customHeight="1">
      <c r="A159" s="237"/>
      <c r="B159" s="237"/>
      <c r="C159" s="22">
        <v>150</v>
      </c>
      <c r="D159" s="125"/>
      <c r="E159" s="33" t="s">
        <v>320</v>
      </c>
      <c r="F159" s="161"/>
      <c r="G159" s="133" t="s">
        <v>321</v>
      </c>
      <c r="H159" s="161"/>
      <c r="I159" s="197" t="s">
        <v>691</v>
      </c>
      <c r="J159" s="129" t="s">
        <v>942</v>
      </c>
      <c r="K159" s="129">
        <v>12</v>
      </c>
      <c r="L159" s="161"/>
      <c r="M159" s="125"/>
      <c r="N159" s="125"/>
      <c r="O159" s="125"/>
    </row>
    <row r="160" spans="1:15" ht="9.9499999999999993" customHeight="1">
      <c r="A160" s="237"/>
      <c r="B160" s="237"/>
      <c r="C160" s="22">
        <v>151</v>
      </c>
      <c r="D160" s="125"/>
      <c r="E160" s="33" t="s">
        <v>573</v>
      </c>
      <c r="F160" s="161"/>
      <c r="G160" s="133" t="s">
        <v>322</v>
      </c>
      <c r="H160" s="161"/>
      <c r="I160" s="197" t="s">
        <v>848</v>
      </c>
      <c r="J160" s="129" t="s">
        <v>942</v>
      </c>
      <c r="K160" s="129">
        <v>12</v>
      </c>
      <c r="L160" s="161"/>
      <c r="M160" s="125"/>
      <c r="N160" s="125"/>
      <c r="O160" s="125"/>
    </row>
    <row r="161" spans="1:15" ht="9.9499999999999993" customHeight="1">
      <c r="A161" s="237"/>
      <c r="B161" s="237"/>
      <c r="C161" s="22">
        <v>152</v>
      </c>
      <c r="D161" s="125"/>
      <c r="E161" s="33" t="s">
        <v>1146</v>
      </c>
      <c r="F161" s="161"/>
      <c r="G161" s="133" t="s">
        <v>323</v>
      </c>
      <c r="H161" s="161"/>
      <c r="I161" s="197" t="s">
        <v>324</v>
      </c>
      <c r="J161" s="129" t="s">
        <v>942</v>
      </c>
      <c r="K161" s="129">
        <v>0</v>
      </c>
      <c r="L161" s="161"/>
      <c r="M161" s="125"/>
      <c r="N161" s="125"/>
      <c r="O161" s="125"/>
    </row>
    <row r="162" spans="1:15" ht="9.9499999999999993" customHeight="1">
      <c r="A162" s="237"/>
      <c r="B162" s="237"/>
      <c r="C162" s="22">
        <v>153</v>
      </c>
      <c r="D162" s="125"/>
      <c r="E162" s="33" t="s">
        <v>24</v>
      </c>
      <c r="F162" s="161"/>
      <c r="G162" s="131" t="s">
        <v>569</v>
      </c>
      <c r="H162" s="161"/>
      <c r="I162" s="137" t="s">
        <v>136</v>
      </c>
      <c r="J162" s="129" t="s">
        <v>942</v>
      </c>
      <c r="K162" s="129">
        <v>4</v>
      </c>
      <c r="L162" s="161"/>
      <c r="M162" s="125"/>
      <c r="N162" s="125"/>
      <c r="O162" s="125"/>
    </row>
    <row r="163" spans="1:15" ht="9.9499999999999993" customHeight="1">
      <c r="A163" s="237"/>
      <c r="B163" s="237"/>
      <c r="C163" s="22">
        <v>154</v>
      </c>
      <c r="D163" s="125"/>
      <c r="E163" s="33" t="s">
        <v>24</v>
      </c>
      <c r="F163" s="161"/>
      <c r="G163" s="131" t="s">
        <v>25</v>
      </c>
      <c r="H163" s="161"/>
      <c r="I163" s="137" t="s">
        <v>1231</v>
      </c>
      <c r="J163" s="129" t="s">
        <v>942</v>
      </c>
      <c r="K163" s="129">
        <v>8</v>
      </c>
      <c r="L163" s="161"/>
      <c r="M163" s="125"/>
      <c r="N163" s="125"/>
      <c r="O163" s="125"/>
    </row>
    <row r="164" spans="1:15" ht="9.9499999999999993" customHeight="1">
      <c r="A164" s="237"/>
      <c r="B164" s="237"/>
      <c r="C164" s="22">
        <v>155</v>
      </c>
      <c r="D164" s="125"/>
      <c r="E164" s="33" t="s">
        <v>325</v>
      </c>
      <c r="F164" s="161"/>
      <c r="G164" s="131" t="s">
        <v>819</v>
      </c>
      <c r="H164" s="161"/>
      <c r="I164" s="137" t="s">
        <v>820</v>
      </c>
      <c r="J164" s="129" t="s">
        <v>942</v>
      </c>
      <c r="K164" s="129">
        <v>0</v>
      </c>
      <c r="L164" s="161"/>
      <c r="M164" s="125"/>
      <c r="N164" s="125"/>
      <c r="O164" s="125"/>
    </row>
    <row r="165" spans="1:15" ht="9.9499999999999993" customHeight="1">
      <c r="A165" s="237"/>
      <c r="B165" s="237"/>
      <c r="C165" s="22">
        <v>156</v>
      </c>
      <c r="D165" s="125"/>
      <c r="E165" s="33" t="s">
        <v>873</v>
      </c>
      <c r="F165" s="161"/>
      <c r="G165" s="131" t="s">
        <v>815</v>
      </c>
      <c r="H165" s="161"/>
      <c r="I165" s="137" t="s">
        <v>816</v>
      </c>
      <c r="J165" s="129" t="s">
        <v>942</v>
      </c>
      <c r="K165" s="129">
        <v>36</v>
      </c>
      <c r="L165" s="161"/>
      <c r="M165" s="125"/>
      <c r="N165" s="125"/>
      <c r="O165" s="125"/>
    </row>
    <row r="166" spans="1:15" ht="9.9499999999999993" customHeight="1">
      <c r="A166" s="237"/>
      <c r="B166" s="237"/>
      <c r="C166" s="22">
        <v>157</v>
      </c>
      <c r="D166" s="125"/>
      <c r="E166" s="33" t="s">
        <v>45</v>
      </c>
      <c r="F166" s="161"/>
      <c r="G166" s="127" t="s">
        <v>326</v>
      </c>
      <c r="H166" s="161"/>
      <c r="I166" s="128" t="s">
        <v>796</v>
      </c>
      <c r="J166" s="129" t="s">
        <v>942</v>
      </c>
      <c r="K166" s="129">
        <v>18</v>
      </c>
      <c r="L166" s="161"/>
      <c r="M166" s="125"/>
      <c r="N166" s="125"/>
      <c r="O166" s="125"/>
    </row>
    <row r="167" spans="1:15" ht="9.9499999999999993" customHeight="1">
      <c r="A167" s="237"/>
      <c r="B167" s="237"/>
      <c r="C167" s="22">
        <v>158</v>
      </c>
      <c r="D167" s="125"/>
      <c r="E167" s="33" t="s">
        <v>45</v>
      </c>
      <c r="F167" s="161"/>
      <c r="G167" s="133" t="s">
        <v>46</v>
      </c>
      <c r="H167" s="161"/>
      <c r="I167" s="138" t="s">
        <v>47</v>
      </c>
      <c r="J167" s="129" t="s">
        <v>942</v>
      </c>
      <c r="K167" s="129">
        <v>40</v>
      </c>
      <c r="L167" s="161"/>
      <c r="M167" s="125"/>
      <c r="N167" s="125"/>
      <c r="O167" s="125"/>
    </row>
    <row r="168" spans="1:15" ht="9.9499999999999993" customHeight="1">
      <c r="A168" s="237"/>
      <c r="B168" s="237"/>
      <c r="C168" s="22">
        <v>159</v>
      </c>
      <c r="D168" s="125"/>
      <c r="E168" s="55" t="s">
        <v>327</v>
      </c>
      <c r="F168" s="161"/>
      <c r="G168" s="164" t="s">
        <v>328</v>
      </c>
      <c r="H168" s="161"/>
      <c r="I168" s="165" t="s">
        <v>842</v>
      </c>
      <c r="J168" s="165" t="s">
        <v>942</v>
      </c>
      <c r="K168" s="165">
        <v>3</v>
      </c>
      <c r="L168" s="161"/>
      <c r="M168" s="125"/>
      <c r="N168" s="125"/>
      <c r="O168" s="125"/>
    </row>
    <row r="169" spans="1:15" ht="9.9499999999999993" customHeight="1">
      <c r="A169" s="237"/>
      <c r="B169" s="237"/>
      <c r="C169" s="22">
        <v>160</v>
      </c>
      <c r="D169" s="125"/>
      <c r="E169" s="50" t="s">
        <v>1130</v>
      </c>
      <c r="F169" s="161"/>
      <c r="G169" s="139" t="s">
        <v>37</v>
      </c>
      <c r="H169" s="161"/>
      <c r="I169" s="140" t="s">
        <v>38</v>
      </c>
      <c r="J169" s="140" t="s">
        <v>942</v>
      </c>
      <c r="K169" s="140">
        <v>16</v>
      </c>
      <c r="L169" s="161"/>
      <c r="M169" s="125"/>
      <c r="N169" s="125"/>
      <c r="O169" s="125"/>
    </row>
    <row r="170" spans="1:15" ht="9.9499999999999993" customHeight="1">
      <c r="A170" s="237"/>
      <c r="B170" s="237"/>
      <c r="C170" s="22">
        <v>161</v>
      </c>
      <c r="D170" s="125"/>
      <c r="E170" s="50" t="s">
        <v>1114</v>
      </c>
      <c r="F170" s="161"/>
      <c r="G170" s="139" t="s">
        <v>329</v>
      </c>
      <c r="H170" s="161"/>
      <c r="I170" s="140" t="s">
        <v>783</v>
      </c>
      <c r="J170" s="140" t="s">
        <v>942</v>
      </c>
      <c r="K170" s="140">
        <v>9</v>
      </c>
      <c r="L170" s="161"/>
      <c r="M170" s="125"/>
      <c r="N170" s="125"/>
      <c r="O170" s="125"/>
    </row>
    <row r="171" spans="1:15" ht="9.9499999999999993" customHeight="1">
      <c r="A171" s="237"/>
      <c r="B171" s="237"/>
      <c r="C171" s="22">
        <v>162</v>
      </c>
      <c r="D171" s="125"/>
      <c r="E171" s="33" t="s">
        <v>330</v>
      </c>
      <c r="F171" s="161"/>
      <c r="G171" s="133" t="s">
        <v>331</v>
      </c>
      <c r="H171" s="161"/>
      <c r="I171" s="129" t="s">
        <v>821</v>
      </c>
      <c r="J171" s="153" t="s">
        <v>942</v>
      </c>
      <c r="K171" s="129">
        <v>0</v>
      </c>
      <c r="L171" s="161"/>
      <c r="M171" s="125"/>
      <c r="N171" s="125"/>
      <c r="O171" s="125"/>
    </row>
    <row r="172" spans="1:15" ht="9.9499999999999993" customHeight="1">
      <c r="A172" s="237"/>
      <c r="B172" s="237"/>
      <c r="C172" s="22">
        <v>163</v>
      </c>
      <c r="D172" s="125"/>
      <c r="E172" s="33" t="s">
        <v>332</v>
      </c>
      <c r="F172" s="161"/>
      <c r="G172" s="133" t="s">
        <v>817</v>
      </c>
      <c r="H172" s="161"/>
      <c r="I172" s="129" t="s">
        <v>818</v>
      </c>
      <c r="J172" s="153" t="s">
        <v>942</v>
      </c>
      <c r="K172" s="129">
        <v>0</v>
      </c>
      <c r="L172" s="161"/>
      <c r="M172" s="125"/>
      <c r="N172" s="125"/>
      <c r="O172" s="125"/>
    </row>
    <row r="173" spans="1:15" ht="9.9499999999999993" customHeight="1">
      <c r="A173" s="237"/>
      <c r="B173" s="237"/>
      <c r="C173" s="22">
        <v>164</v>
      </c>
      <c r="D173" s="125"/>
      <c r="E173" s="33" t="s">
        <v>48</v>
      </c>
      <c r="F173" s="161"/>
      <c r="G173" s="133" t="s">
        <v>804</v>
      </c>
      <c r="H173" s="161"/>
      <c r="I173" s="129" t="s">
        <v>805</v>
      </c>
      <c r="J173" s="153" t="s">
        <v>942</v>
      </c>
      <c r="K173" s="129">
        <v>6</v>
      </c>
      <c r="L173" s="161"/>
      <c r="M173" s="125"/>
      <c r="N173" s="125"/>
      <c r="O173" s="125"/>
    </row>
    <row r="174" spans="1:15" ht="9.9499999999999993" customHeight="1">
      <c r="A174" s="237"/>
      <c r="B174" s="237"/>
      <c r="C174" s="22">
        <v>165</v>
      </c>
      <c r="D174" s="125"/>
      <c r="E174" s="33" t="s">
        <v>45</v>
      </c>
      <c r="F174" s="161"/>
      <c r="G174" s="133" t="s">
        <v>797</v>
      </c>
      <c r="H174" s="161"/>
      <c r="I174" s="129" t="s">
        <v>798</v>
      </c>
      <c r="J174" s="153" t="s">
        <v>942</v>
      </c>
      <c r="K174" s="129">
        <v>12</v>
      </c>
      <c r="L174" s="161"/>
      <c r="M174" s="125"/>
      <c r="N174" s="125"/>
      <c r="O174" s="125"/>
    </row>
    <row r="175" spans="1:15" ht="9.9499999999999993" customHeight="1">
      <c r="A175" s="237"/>
      <c r="B175" s="237"/>
      <c r="C175" s="22">
        <v>166</v>
      </c>
      <c r="D175" s="125"/>
      <c r="E175" s="33" t="s">
        <v>48</v>
      </c>
      <c r="F175" s="161"/>
      <c r="G175" s="133" t="s">
        <v>806</v>
      </c>
      <c r="H175" s="161"/>
      <c r="I175" s="138" t="s">
        <v>807</v>
      </c>
      <c r="J175" s="153" t="s">
        <v>942</v>
      </c>
      <c r="K175" s="129">
        <v>6</v>
      </c>
      <c r="L175" s="161"/>
      <c r="M175" s="125"/>
      <c r="N175" s="125"/>
      <c r="O175" s="125"/>
    </row>
    <row r="176" spans="1:15" ht="9.9499999999999993" customHeight="1">
      <c r="A176" s="237"/>
      <c r="B176" s="237"/>
      <c r="C176" s="22">
        <v>167</v>
      </c>
      <c r="D176" s="125"/>
      <c r="E176" s="45" t="s">
        <v>327</v>
      </c>
      <c r="F176" s="161"/>
      <c r="G176" s="133" t="s">
        <v>333</v>
      </c>
      <c r="H176" s="161"/>
      <c r="I176" s="138" t="s">
        <v>765</v>
      </c>
      <c r="J176" s="137" t="s">
        <v>942</v>
      </c>
      <c r="K176" s="138">
        <v>0</v>
      </c>
      <c r="L176" s="161"/>
      <c r="M176" s="125"/>
      <c r="N176" s="125"/>
      <c r="O176" s="125"/>
    </row>
    <row r="177" spans="1:15" ht="9.9499999999999993" customHeight="1">
      <c r="A177" s="237"/>
      <c r="B177" s="237"/>
      <c r="C177" s="22">
        <v>168</v>
      </c>
      <c r="D177" s="125"/>
      <c r="E177" s="45" t="s">
        <v>64</v>
      </c>
      <c r="F177" s="161"/>
      <c r="G177" s="136" t="s">
        <v>619</v>
      </c>
      <c r="H177" s="161"/>
      <c r="I177" s="132" t="s">
        <v>620</v>
      </c>
      <c r="J177" s="137" t="s">
        <v>1208</v>
      </c>
      <c r="K177" s="138">
        <v>8</v>
      </c>
      <c r="L177" s="161"/>
      <c r="M177" s="125"/>
      <c r="N177" s="125"/>
      <c r="O177" s="125"/>
    </row>
    <row r="178" spans="1:15" ht="9.9499999999999993" customHeight="1">
      <c r="A178" s="237"/>
      <c r="B178" s="237"/>
      <c r="C178" s="22">
        <v>169</v>
      </c>
      <c r="D178" s="125"/>
      <c r="E178" s="45" t="s">
        <v>1130</v>
      </c>
      <c r="F178" s="161"/>
      <c r="G178" s="136" t="s">
        <v>334</v>
      </c>
      <c r="H178" s="161"/>
      <c r="I178" s="138" t="s">
        <v>658</v>
      </c>
      <c r="J178" s="137" t="s">
        <v>1208</v>
      </c>
      <c r="K178" s="138">
        <v>3</v>
      </c>
      <c r="L178" s="161"/>
      <c r="M178" s="125"/>
      <c r="N178" s="125"/>
      <c r="O178" s="125"/>
    </row>
    <row r="179" spans="1:15" ht="9.9499999999999993" customHeight="1">
      <c r="A179" s="237"/>
      <c r="B179" s="237"/>
      <c r="C179" s="22">
        <v>170</v>
      </c>
      <c r="D179" s="125"/>
      <c r="E179" s="45" t="s">
        <v>64</v>
      </c>
      <c r="F179" s="161"/>
      <c r="G179" s="136" t="s">
        <v>172</v>
      </c>
      <c r="H179" s="161"/>
      <c r="I179" s="138" t="s">
        <v>753</v>
      </c>
      <c r="J179" s="137" t="s">
        <v>1208</v>
      </c>
      <c r="K179" s="138">
        <v>9</v>
      </c>
      <c r="L179" s="161"/>
      <c r="M179" s="125"/>
      <c r="N179" s="125"/>
      <c r="O179" s="125"/>
    </row>
    <row r="180" spans="1:15" ht="9.9499999999999993" customHeight="1">
      <c r="A180" s="237"/>
      <c r="B180" s="237"/>
      <c r="C180" s="22">
        <v>171</v>
      </c>
      <c r="D180" s="125"/>
      <c r="E180" s="70" t="s">
        <v>1146</v>
      </c>
      <c r="F180" s="161"/>
      <c r="G180" s="163" t="s">
        <v>195</v>
      </c>
      <c r="H180" s="161"/>
      <c r="I180" s="138" t="s">
        <v>196</v>
      </c>
      <c r="J180" s="138" t="s">
        <v>1208</v>
      </c>
      <c r="K180" s="138">
        <v>0</v>
      </c>
      <c r="L180" s="161"/>
      <c r="M180" s="125"/>
      <c r="N180" s="125"/>
      <c r="O180" s="125"/>
    </row>
    <row r="181" spans="1:15" ht="9.9499999999999993" customHeight="1">
      <c r="A181" s="237"/>
      <c r="B181" s="237"/>
      <c r="C181" s="22">
        <v>172</v>
      </c>
      <c r="D181" s="125"/>
      <c r="E181" s="33" t="s">
        <v>86</v>
      </c>
      <c r="F181" s="161"/>
      <c r="G181" s="127" t="s">
        <v>335</v>
      </c>
      <c r="H181" s="161"/>
      <c r="I181" s="138" t="s">
        <v>746</v>
      </c>
      <c r="J181" s="138" t="s">
        <v>87</v>
      </c>
      <c r="K181" s="138">
        <v>3</v>
      </c>
      <c r="L181" s="161"/>
      <c r="M181" s="125"/>
      <c r="N181" s="125"/>
      <c r="O181" s="125"/>
    </row>
    <row r="182" spans="1:15" ht="9.9499999999999993" customHeight="1">
      <c r="A182" s="237"/>
      <c r="B182" s="237"/>
      <c r="C182" s="22">
        <v>173</v>
      </c>
      <c r="D182" s="125"/>
      <c r="E182" s="45" t="s">
        <v>86</v>
      </c>
      <c r="F182" s="161"/>
      <c r="G182" s="136" t="s">
        <v>336</v>
      </c>
      <c r="H182" s="161"/>
      <c r="I182" s="138" t="s">
        <v>337</v>
      </c>
      <c r="J182" s="137" t="s">
        <v>87</v>
      </c>
      <c r="K182" s="138">
        <v>3</v>
      </c>
      <c r="L182" s="161"/>
      <c r="M182" s="125"/>
      <c r="N182" s="125"/>
      <c r="O182" s="125"/>
    </row>
    <row r="183" spans="1:15" ht="9.9499999999999993" customHeight="1">
      <c r="A183" s="237"/>
      <c r="B183" s="237"/>
      <c r="C183" s="22">
        <v>174</v>
      </c>
      <c r="D183" s="125"/>
      <c r="E183" s="45" t="s">
        <v>24</v>
      </c>
      <c r="F183" s="161"/>
      <c r="G183" s="136" t="s">
        <v>762</v>
      </c>
      <c r="H183" s="161"/>
      <c r="I183" s="132" t="s">
        <v>763</v>
      </c>
      <c r="J183" s="137" t="s">
        <v>780</v>
      </c>
      <c r="K183" s="138">
        <v>204</v>
      </c>
      <c r="L183" s="161"/>
      <c r="M183" s="125"/>
      <c r="N183" s="125"/>
      <c r="O183" s="125"/>
    </row>
    <row r="184" spans="1:15" ht="9.9499999999999993" customHeight="1">
      <c r="A184" s="237"/>
      <c r="B184" s="237"/>
      <c r="C184" s="22">
        <v>175</v>
      </c>
      <c r="D184" s="125"/>
      <c r="E184" s="33" t="s">
        <v>1114</v>
      </c>
      <c r="F184" s="161"/>
      <c r="G184" s="133" t="s">
        <v>338</v>
      </c>
      <c r="H184" s="161"/>
      <c r="I184" s="138" t="s">
        <v>779</v>
      </c>
      <c r="J184" s="129" t="s">
        <v>780</v>
      </c>
      <c r="K184" s="129">
        <v>99</v>
      </c>
      <c r="L184" s="161"/>
      <c r="M184" s="125"/>
      <c r="N184" s="125"/>
      <c r="O184" s="125"/>
    </row>
    <row r="185" spans="1:15" ht="9.9499999999999993" customHeight="1">
      <c r="A185" s="237"/>
      <c r="B185" s="237"/>
      <c r="C185" s="22">
        <v>176</v>
      </c>
      <c r="D185" s="125"/>
      <c r="E185" s="45" t="s">
        <v>873</v>
      </c>
      <c r="F185" s="161"/>
      <c r="G185" s="136" t="s">
        <v>874</v>
      </c>
      <c r="H185" s="161"/>
      <c r="I185" s="138" t="s">
        <v>1213</v>
      </c>
      <c r="J185" s="137" t="s">
        <v>875</v>
      </c>
      <c r="K185" s="138">
        <v>102</v>
      </c>
      <c r="L185" s="161"/>
      <c r="M185" s="125"/>
      <c r="N185" s="125"/>
      <c r="O185" s="125"/>
    </row>
    <row r="186" spans="1:15" ht="9.9499999999999993" customHeight="1">
      <c r="A186" s="237"/>
      <c r="B186" s="237"/>
      <c r="C186" s="22">
        <v>177</v>
      </c>
      <c r="D186" s="125"/>
      <c r="E186" s="45" t="s">
        <v>48</v>
      </c>
      <c r="F186" s="161"/>
      <c r="G186" s="133" t="s">
        <v>339</v>
      </c>
      <c r="H186" s="161"/>
      <c r="I186" s="138" t="s">
        <v>800</v>
      </c>
      <c r="J186" s="137" t="s">
        <v>875</v>
      </c>
      <c r="K186" s="138">
        <v>6</v>
      </c>
      <c r="L186" s="161"/>
      <c r="M186" s="125"/>
      <c r="N186" s="125"/>
      <c r="O186" s="125"/>
    </row>
    <row r="187" spans="1:15" ht="9.9499999999999993" customHeight="1">
      <c r="A187" s="237"/>
      <c r="B187" s="237"/>
      <c r="C187" s="22">
        <v>178</v>
      </c>
      <c r="D187" s="125"/>
      <c r="E187" s="45" t="s">
        <v>1066</v>
      </c>
      <c r="F187" s="161"/>
      <c r="G187" s="136" t="s">
        <v>340</v>
      </c>
      <c r="H187" s="161"/>
      <c r="I187" s="132" t="s">
        <v>759</v>
      </c>
      <c r="J187" s="137" t="s">
        <v>875</v>
      </c>
      <c r="K187" s="138">
        <v>108</v>
      </c>
      <c r="L187" s="161"/>
      <c r="M187" s="125"/>
      <c r="N187" s="125"/>
      <c r="O187" s="125"/>
    </row>
    <row r="188" spans="1:15" ht="9.9499999999999993" customHeight="1">
      <c r="A188" s="237"/>
      <c r="B188" s="237"/>
      <c r="C188" s="22">
        <v>179</v>
      </c>
      <c r="D188" s="125"/>
      <c r="E188" s="99" t="s">
        <v>1130</v>
      </c>
      <c r="F188" s="161"/>
      <c r="G188" s="141" t="s">
        <v>656</v>
      </c>
      <c r="H188" s="161"/>
      <c r="I188" s="142" t="s">
        <v>657</v>
      </c>
      <c r="J188" s="137" t="s">
        <v>1208</v>
      </c>
      <c r="K188" s="143">
        <v>8</v>
      </c>
      <c r="L188" s="161"/>
      <c r="M188" s="125"/>
      <c r="N188" s="125"/>
      <c r="O188" s="125"/>
    </row>
    <row r="189" spans="1:15" ht="9.9499999999999993" customHeight="1">
      <c r="A189" s="237"/>
      <c r="B189" s="237"/>
      <c r="C189" s="22">
        <v>180</v>
      </c>
      <c r="D189" s="125"/>
      <c r="E189" s="33" t="s">
        <v>341</v>
      </c>
      <c r="F189" s="161"/>
      <c r="G189" s="133" t="s">
        <v>342</v>
      </c>
      <c r="H189" s="161"/>
      <c r="I189" s="138" t="s">
        <v>203</v>
      </c>
      <c r="J189" s="129" t="s">
        <v>2</v>
      </c>
      <c r="K189" s="138">
        <v>0</v>
      </c>
      <c r="L189" s="161"/>
      <c r="M189" s="125"/>
      <c r="N189" s="125"/>
      <c r="O189" s="125"/>
    </row>
    <row r="190" spans="1:15" ht="9.9499999999999993" customHeight="1">
      <c r="A190" s="237"/>
      <c r="B190" s="237"/>
      <c r="C190" s="22">
        <v>181</v>
      </c>
      <c r="D190" s="125"/>
      <c r="E190" s="33" t="s">
        <v>341</v>
      </c>
      <c r="F190" s="161"/>
      <c r="G190" s="133" t="s">
        <v>343</v>
      </c>
      <c r="H190" s="161"/>
      <c r="I190" s="138" t="s">
        <v>205</v>
      </c>
      <c r="J190" s="129" t="s">
        <v>2</v>
      </c>
      <c r="K190" s="129">
        <v>0</v>
      </c>
      <c r="L190" s="161"/>
      <c r="M190" s="125"/>
      <c r="N190" s="125"/>
      <c r="O190" s="125"/>
    </row>
    <row r="191" spans="1:15" ht="9.9499999999999993" customHeight="1">
      <c r="A191" s="237"/>
      <c r="B191" s="237"/>
      <c r="C191" s="22">
        <v>182</v>
      </c>
      <c r="D191" s="125"/>
      <c r="E191" s="33" t="s">
        <v>1075</v>
      </c>
      <c r="F191" s="161"/>
      <c r="G191" s="133" t="s">
        <v>344</v>
      </c>
      <c r="H191" s="161"/>
      <c r="I191" s="138" t="s">
        <v>912</v>
      </c>
      <c r="J191" s="129" t="s">
        <v>1128</v>
      </c>
      <c r="K191" s="129">
        <v>6</v>
      </c>
      <c r="L191" s="161"/>
      <c r="M191" s="125"/>
      <c r="N191" s="125"/>
      <c r="O191" s="125"/>
    </row>
    <row r="192" spans="1:15" ht="9.9499999999999993" customHeight="1">
      <c r="A192" s="237"/>
      <c r="B192" s="237"/>
      <c r="C192" s="22">
        <v>183</v>
      </c>
      <c r="D192" s="125"/>
      <c r="E192" s="33" t="s">
        <v>1075</v>
      </c>
      <c r="F192" s="161"/>
      <c r="G192" s="133" t="s">
        <v>911</v>
      </c>
      <c r="H192" s="161"/>
      <c r="I192" s="138" t="s">
        <v>910</v>
      </c>
      <c r="J192" s="129" t="s">
        <v>1128</v>
      </c>
      <c r="K192" s="129">
        <v>6</v>
      </c>
      <c r="L192" s="161"/>
      <c r="M192" s="125"/>
      <c r="N192" s="125"/>
      <c r="O192" s="125"/>
    </row>
    <row r="193" spans="1:15" ht="9.9499999999999993" customHeight="1">
      <c r="A193" s="237"/>
      <c r="B193" s="237"/>
      <c r="C193" s="22">
        <v>184</v>
      </c>
      <c r="D193" s="125"/>
      <c r="E193" s="33" t="s">
        <v>341</v>
      </c>
      <c r="F193" s="161"/>
      <c r="G193" s="133" t="s">
        <v>345</v>
      </c>
      <c r="H193" s="161"/>
      <c r="I193" s="138" t="s">
        <v>202</v>
      </c>
      <c r="J193" s="129" t="s">
        <v>1042</v>
      </c>
      <c r="K193" s="129">
        <v>0</v>
      </c>
      <c r="L193" s="161"/>
      <c r="M193" s="125"/>
      <c r="N193" s="125"/>
      <c r="O193" s="125"/>
    </row>
    <row r="194" spans="1:15" ht="9.9499999999999993" customHeight="1">
      <c r="A194" s="237"/>
      <c r="B194" s="237"/>
      <c r="C194" s="22">
        <v>185</v>
      </c>
      <c r="D194" s="125"/>
      <c r="E194" s="45" t="s">
        <v>1075</v>
      </c>
      <c r="F194" s="161"/>
      <c r="G194" s="133" t="s">
        <v>346</v>
      </c>
      <c r="H194" s="161"/>
      <c r="I194" s="138" t="s">
        <v>1074</v>
      </c>
      <c r="J194" s="137" t="s">
        <v>1128</v>
      </c>
      <c r="K194" s="138">
        <v>6</v>
      </c>
      <c r="L194" s="161"/>
      <c r="M194" s="125"/>
      <c r="N194" s="125"/>
      <c r="O194" s="125"/>
    </row>
    <row r="195" spans="1:15" ht="9.9499999999999993" customHeight="1">
      <c r="A195" s="237"/>
      <c r="B195" s="237"/>
      <c r="C195" s="22">
        <v>186</v>
      </c>
      <c r="D195" s="125"/>
      <c r="E195" s="45" t="s">
        <v>165</v>
      </c>
      <c r="F195" s="161"/>
      <c r="G195" s="133" t="s">
        <v>166</v>
      </c>
      <c r="H195" s="161"/>
      <c r="I195" s="132" t="s">
        <v>167</v>
      </c>
      <c r="J195" s="137" t="s">
        <v>1128</v>
      </c>
      <c r="K195" s="138">
        <v>14</v>
      </c>
      <c r="L195" s="161"/>
      <c r="M195" s="125"/>
      <c r="N195" s="125"/>
      <c r="O195" s="125"/>
    </row>
    <row r="196" spans="1:15" ht="9.9499999999999993" customHeight="1">
      <c r="A196" s="237"/>
      <c r="B196" s="237"/>
      <c r="C196" s="22">
        <v>187</v>
      </c>
      <c r="D196" s="125"/>
      <c r="E196" s="45" t="s">
        <v>341</v>
      </c>
      <c r="F196" s="161"/>
      <c r="G196" s="133" t="s">
        <v>347</v>
      </c>
      <c r="H196" s="161"/>
      <c r="I196" s="138" t="s">
        <v>204</v>
      </c>
      <c r="J196" s="137" t="s">
        <v>1208</v>
      </c>
      <c r="K196" s="138">
        <v>0</v>
      </c>
      <c r="L196" s="161"/>
      <c r="M196" s="125"/>
      <c r="N196" s="125"/>
      <c r="O196" s="125"/>
    </row>
    <row r="197" spans="1:15" ht="9.9499999999999993" customHeight="1">
      <c r="A197" s="237"/>
      <c r="B197" s="237"/>
      <c r="C197" s="22">
        <v>188</v>
      </c>
      <c r="D197" s="125"/>
      <c r="E197" s="50" t="s">
        <v>686</v>
      </c>
      <c r="F197" s="161"/>
      <c r="G197" s="198" t="s">
        <v>687</v>
      </c>
      <c r="H197" s="161"/>
      <c r="I197" s="199" t="s">
        <v>688</v>
      </c>
      <c r="J197" s="200" t="s">
        <v>577</v>
      </c>
      <c r="K197" s="140">
        <v>6</v>
      </c>
      <c r="L197" s="161"/>
      <c r="M197" s="125"/>
      <c r="N197" s="125"/>
      <c r="O197" s="125"/>
    </row>
    <row r="198" spans="1:15" ht="9.9499999999999993" customHeight="1">
      <c r="A198" s="237"/>
      <c r="B198" s="237"/>
      <c r="C198" s="22">
        <v>189</v>
      </c>
      <c r="D198" s="125"/>
      <c r="E198" s="50" t="s">
        <v>686</v>
      </c>
      <c r="F198" s="161"/>
      <c r="G198" s="198" t="s">
        <v>689</v>
      </c>
      <c r="H198" s="161"/>
      <c r="I198" s="199" t="s">
        <v>690</v>
      </c>
      <c r="J198" s="200" t="s">
        <v>577</v>
      </c>
      <c r="K198" s="140">
        <v>6</v>
      </c>
      <c r="L198" s="161"/>
      <c r="M198" s="125"/>
      <c r="N198" s="125"/>
      <c r="O198" s="125"/>
    </row>
    <row r="199" spans="1:15" ht="9.9499999999999993" customHeight="1">
      <c r="A199" s="237"/>
      <c r="B199" s="237"/>
      <c r="C199" s="22">
        <v>190</v>
      </c>
      <c r="D199" s="125"/>
      <c r="E199" s="45" t="s">
        <v>1150</v>
      </c>
      <c r="F199" s="161"/>
      <c r="G199" s="136" t="s">
        <v>1129</v>
      </c>
      <c r="H199" s="161"/>
      <c r="I199" s="132" t="s">
        <v>955</v>
      </c>
      <c r="J199" s="137" t="s">
        <v>1128</v>
      </c>
      <c r="K199" s="138">
        <v>0</v>
      </c>
      <c r="L199" s="161"/>
      <c r="M199" s="125"/>
      <c r="N199" s="125"/>
      <c r="O199" s="125"/>
    </row>
    <row r="200" spans="1:15" ht="9.9499999999999993" customHeight="1">
      <c r="A200" s="237"/>
      <c r="B200" s="237"/>
      <c r="C200" s="22">
        <v>191</v>
      </c>
      <c r="D200" s="125"/>
      <c r="E200" s="45" t="s">
        <v>1127</v>
      </c>
      <c r="F200" s="161"/>
      <c r="G200" s="136" t="s">
        <v>1041</v>
      </c>
      <c r="H200" s="161"/>
      <c r="I200" s="132" t="s">
        <v>52</v>
      </c>
      <c r="J200" s="137" t="s">
        <v>1042</v>
      </c>
      <c r="K200" s="138">
        <v>14</v>
      </c>
      <c r="L200" s="161"/>
      <c r="M200" s="125"/>
      <c r="N200" s="125"/>
      <c r="O200" s="125"/>
    </row>
    <row r="201" spans="1:15" ht="9.9499999999999993" customHeight="1">
      <c r="A201" s="237"/>
      <c r="B201" s="237"/>
      <c r="C201" s="22">
        <v>192</v>
      </c>
      <c r="D201" s="125"/>
      <c r="E201" s="99" t="s">
        <v>99</v>
      </c>
      <c r="F201" s="161"/>
      <c r="G201" s="141" t="s">
        <v>100</v>
      </c>
      <c r="H201" s="161"/>
      <c r="I201" s="142" t="s">
        <v>101</v>
      </c>
      <c r="J201" s="137" t="s">
        <v>2</v>
      </c>
      <c r="K201" s="143">
        <v>7</v>
      </c>
      <c r="L201" s="161"/>
      <c r="M201" s="125"/>
      <c r="N201" s="125"/>
      <c r="O201" s="125"/>
    </row>
    <row r="202" spans="1:15" ht="9.9499999999999993" customHeight="1">
      <c r="A202" s="237"/>
      <c r="B202" s="237"/>
      <c r="C202" s="22">
        <v>193</v>
      </c>
      <c r="D202" s="125"/>
      <c r="E202" s="50" t="s">
        <v>1127</v>
      </c>
      <c r="F202" s="161"/>
      <c r="G202" s="198" t="s">
        <v>1041</v>
      </c>
      <c r="H202" s="161"/>
      <c r="I202" s="200" t="s">
        <v>712</v>
      </c>
      <c r="J202" s="200" t="s">
        <v>1042</v>
      </c>
      <c r="K202" s="140">
        <v>3</v>
      </c>
      <c r="L202" s="161"/>
      <c r="M202" s="125"/>
      <c r="N202" s="125"/>
      <c r="O202" s="125"/>
    </row>
    <row r="203" spans="1:15" ht="9.9499999999999993" customHeight="1">
      <c r="A203" s="237"/>
      <c r="B203" s="237"/>
      <c r="C203" s="22">
        <v>194</v>
      </c>
      <c r="D203" s="125"/>
      <c r="E203" s="50" t="s">
        <v>1127</v>
      </c>
      <c r="F203" s="161"/>
      <c r="G203" s="198" t="s">
        <v>4</v>
      </c>
      <c r="H203" s="161"/>
      <c r="I203" s="200" t="s">
        <v>1198</v>
      </c>
      <c r="J203" s="200" t="s">
        <v>1042</v>
      </c>
      <c r="K203" s="140">
        <v>9</v>
      </c>
      <c r="L203" s="161"/>
      <c r="M203" s="125"/>
      <c r="N203" s="125"/>
      <c r="O203" s="125"/>
    </row>
    <row r="204" spans="1:15" ht="9.9499999999999993" customHeight="1">
      <c r="A204" s="237"/>
      <c r="B204" s="237"/>
      <c r="C204" s="22">
        <v>195</v>
      </c>
      <c r="D204" s="125"/>
      <c r="E204" s="45" t="s">
        <v>94</v>
      </c>
      <c r="F204" s="161"/>
      <c r="G204" s="136" t="s">
        <v>95</v>
      </c>
      <c r="H204" s="161"/>
      <c r="I204" s="132" t="s">
        <v>96</v>
      </c>
      <c r="J204" s="137" t="s">
        <v>1208</v>
      </c>
      <c r="K204" s="138">
        <v>7</v>
      </c>
      <c r="L204" s="161"/>
      <c r="M204" s="125"/>
      <c r="N204" s="125"/>
      <c r="O204" s="125"/>
    </row>
    <row r="205" spans="1:15" ht="9.9499999999999993" customHeight="1">
      <c r="A205" s="237"/>
      <c r="B205" s="237"/>
      <c r="C205" s="22">
        <v>196</v>
      </c>
      <c r="D205" s="125"/>
      <c r="E205" s="45" t="s">
        <v>348</v>
      </c>
      <c r="F205" s="161"/>
      <c r="G205" s="136" t="s">
        <v>350</v>
      </c>
      <c r="H205" s="161"/>
      <c r="I205" s="132" t="s">
        <v>748</v>
      </c>
      <c r="J205" s="137" t="s">
        <v>1208</v>
      </c>
      <c r="K205" s="138">
        <v>27</v>
      </c>
      <c r="L205" s="161"/>
      <c r="M205" s="125"/>
      <c r="N205" s="125"/>
      <c r="O205" s="125"/>
    </row>
    <row r="206" spans="1:15" ht="9.9499999999999993" customHeight="1">
      <c r="A206" s="237"/>
      <c r="B206" s="237"/>
      <c r="C206" s="22">
        <v>197</v>
      </c>
      <c r="D206" s="125"/>
      <c r="E206" s="75" t="s">
        <v>70</v>
      </c>
      <c r="F206" s="161"/>
      <c r="G206" s="131" t="s">
        <v>849</v>
      </c>
      <c r="H206" s="161"/>
      <c r="I206" s="132" t="s">
        <v>850</v>
      </c>
      <c r="J206" s="137" t="s">
        <v>1208</v>
      </c>
      <c r="K206" s="138">
        <v>24</v>
      </c>
      <c r="L206" s="161"/>
      <c r="M206" s="125"/>
      <c r="N206" s="125"/>
      <c r="O206" s="125"/>
    </row>
    <row r="207" spans="1:15" ht="9.9499999999999993" customHeight="1">
      <c r="A207" s="237"/>
      <c r="B207" s="237"/>
      <c r="C207" s="22">
        <v>198</v>
      </c>
      <c r="D207" s="125"/>
      <c r="E207" s="109" t="s">
        <v>348</v>
      </c>
      <c r="F207" s="161"/>
      <c r="G207" s="139" t="s">
        <v>352</v>
      </c>
      <c r="H207" s="161"/>
      <c r="I207" s="140" t="s">
        <v>747</v>
      </c>
      <c r="J207" s="140" t="s">
        <v>1208</v>
      </c>
      <c r="K207" s="143">
        <v>63</v>
      </c>
      <c r="L207" s="161"/>
      <c r="M207" s="125"/>
      <c r="N207" s="125"/>
      <c r="O207" s="125"/>
    </row>
    <row r="208" spans="1:15" ht="9.9499999999999993" customHeight="1">
      <c r="A208" s="237"/>
      <c r="B208" s="237"/>
      <c r="C208" s="22">
        <v>199</v>
      </c>
      <c r="D208" s="125"/>
      <c r="E208" s="50" t="s">
        <v>574</v>
      </c>
      <c r="F208" s="161"/>
      <c r="G208" s="139" t="s">
        <v>353</v>
      </c>
      <c r="H208" s="161"/>
      <c r="I208" s="140" t="s">
        <v>607</v>
      </c>
      <c r="J208" s="140" t="s">
        <v>87</v>
      </c>
      <c r="K208" s="140">
        <v>2</v>
      </c>
      <c r="L208" s="161"/>
      <c r="M208" s="125"/>
      <c r="N208" s="125"/>
      <c r="O208" s="125"/>
    </row>
    <row r="209" spans="1:15" ht="9.9499999999999993" customHeight="1">
      <c r="A209" s="237"/>
      <c r="B209" s="237"/>
      <c r="C209" s="22">
        <v>200</v>
      </c>
      <c r="D209" s="125"/>
      <c r="E209" s="75" t="s">
        <v>574</v>
      </c>
      <c r="F209" s="161"/>
      <c r="G209" s="131" t="s">
        <v>354</v>
      </c>
      <c r="H209" s="161"/>
      <c r="I209" s="132" t="s">
        <v>608</v>
      </c>
      <c r="J209" s="137" t="s">
        <v>87</v>
      </c>
      <c r="K209" s="138">
        <v>7</v>
      </c>
      <c r="L209" s="161"/>
      <c r="M209" s="125"/>
      <c r="N209" s="125"/>
      <c r="O209" s="125"/>
    </row>
    <row r="210" spans="1:15" ht="9.9499999999999993" customHeight="1">
      <c r="A210" s="237"/>
      <c r="B210" s="237"/>
      <c r="C210" s="22">
        <v>201</v>
      </c>
      <c r="D210" s="125"/>
      <c r="E210" s="33" t="s">
        <v>70</v>
      </c>
      <c r="F210" s="161"/>
      <c r="G210" s="133" t="s">
        <v>71</v>
      </c>
      <c r="H210" s="161"/>
      <c r="I210" s="138" t="s">
        <v>1200</v>
      </c>
      <c r="J210" s="129" t="s">
        <v>1208</v>
      </c>
      <c r="K210" s="129">
        <v>3</v>
      </c>
      <c r="L210" s="161"/>
      <c r="M210" s="125"/>
      <c r="N210" s="125"/>
      <c r="O210" s="125"/>
    </row>
    <row r="211" spans="1:15" ht="9.9499999999999993" customHeight="1">
      <c r="A211" s="237"/>
      <c r="B211" s="237"/>
      <c r="C211" s="22">
        <v>202</v>
      </c>
      <c r="D211" s="125"/>
      <c r="E211" s="45" t="s">
        <v>70</v>
      </c>
      <c r="F211" s="161"/>
      <c r="G211" s="136" t="s">
        <v>73</v>
      </c>
      <c r="H211" s="161"/>
      <c r="I211" s="138" t="s">
        <v>1201</v>
      </c>
      <c r="J211" s="137" t="s">
        <v>1208</v>
      </c>
      <c r="K211" s="138">
        <v>9</v>
      </c>
      <c r="L211" s="161"/>
      <c r="M211" s="125"/>
      <c r="N211" s="125"/>
      <c r="O211" s="125"/>
    </row>
    <row r="212" spans="1:15" ht="9.9499999999999993" customHeight="1">
      <c r="A212" s="237"/>
      <c r="B212" s="237"/>
      <c r="C212" s="22">
        <v>203</v>
      </c>
      <c r="D212" s="125"/>
      <c r="E212" s="45" t="s">
        <v>74</v>
      </c>
      <c r="F212" s="161"/>
      <c r="G212" s="136" t="s">
        <v>75</v>
      </c>
      <c r="H212" s="161"/>
      <c r="I212" s="138" t="s">
        <v>1202</v>
      </c>
      <c r="J212" s="137" t="s">
        <v>1208</v>
      </c>
      <c r="K212" s="138">
        <v>3</v>
      </c>
      <c r="L212" s="161"/>
      <c r="M212" s="125"/>
      <c r="N212" s="125"/>
      <c r="O212" s="125"/>
    </row>
    <row r="213" spans="1:15" ht="9.9499999999999993" customHeight="1">
      <c r="A213" s="237"/>
      <c r="B213" s="237"/>
      <c r="C213" s="22">
        <v>204</v>
      </c>
      <c r="D213" s="125"/>
      <c r="E213" s="45" t="s">
        <v>74</v>
      </c>
      <c r="F213" s="161"/>
      <c r="G213" s="136" t="s">
        <v>76</v>
      </c>
      <c r="H213" s="161"/>
      <c r="I213" s="138" t="s">
        <v>1205</v>
      </c>
      <c r="J213" s="137" t="s">
        <v>1208</v>
      </c>
      <c r="K213" s="138">
        <v>3</v>
      </c>
      <c r="L213" s="161"/>
      <c r="M213" s="125"/>
      <c r="N213" s="125"/>
      <c r="O213" s="125"/>
    </row>
    <row r="214" spans="1:15" ht="9.9499999999999993" customHeight="1">
      <c r="A214" s="237"/>
      <c r="B214" s="237"/>
      <c r="C214" s="22">
        <v>205</v>
      </c>
      <c r="D214" s="125"/>
      <c r="E214" s="86" t="s">
        <v>355</v>
      </c>
      <c r="F214" s="161"/>
      <c r="G214" s="201" t="s">
        <v>78</v>
      </c>
      <c r="H214" s="161"/>
      <c r="I214" s="171" t="s">
        <v>1203</v>
      </c>
      <c r="J214" s="137" t="s">
        <v>1208</v>
      </c>
      <c r="K214" s="171">
        <v>6</v>
      </c>
      <c r="L214" s="161"/>
      <c r="M214" s="125"/>
      <c r="N214" s="125"/>
      <c r="O214" s="125"/>
    </row>
    <row r="215" spans="1:15" ht="9.9499999999999993" customHeight="1">
      <c r="A215" s="237"/>
      <c r="B215" s="237"/>
      <c r="C215" s="22">
        <v>206</v>
      </c>
      <c r="D215" s="125"/>
      <c r="E215" s="86" t="s">
        <v>79</v>
      </c>
      <c r="F215" s="161"/>
      <c r="G215" s="201" t="s">
        <v>80</v>
      </c>
      <c r="H215" s="161"/>
      <c r="I215" s="171" t="s">
        <v>1206</v>
      </c>
      <c r="J215" s="137" t="s">
        <v>1208</v>
      </c>
      <c r="K215" s="171">
        <v>3</v>
      </c>
      <c r="L215" s="161"/>
      <c r="M215" s="125"/>
      <c r="N215" s="125"/>
      <c r="O215" s="125"/>
    </row>
    <row r="216" spans="1:15" ht="9.9499999999999993" customHeight="1">
      <c r="A216" s="237"/>
      <c r="B216" s="237"/>
      <c r="C216" s="22">
        <v>207</v>
      </c>
      <c r="D216" s="125"/>
      <c r="E216" s="99" t="s">
        <v>1127</v>
      </c>
      <c r="F216" s="161"/>
      <c r="G216" s="141" t="s">
        <v>66</v>
      </c>
      <c r="H216" s="161"/>
      <c r="I216" s="142" t="s">
        <v>1199</v>
      </c>
      <c r="J216" s="153" t="s">
        <v>1208</v>
      </c>
      <c r="K216" s="143">
        <v>3</v>
      </c>
      <c r="L216" s="161"/>
      <c r="M216" s="125"/>
      <c r="N216" s="125"/>
      <c r="O216" s="125"/>
    </row>
    <row r="217" spans="1:15" ht="9.9499999999999993" customHeight="1">
      <c r="A217" s="237"/>
      <c r="B217" s="237"/>
      <c r="C217" s="22">
        <v>208</v>
      </c>
      <c r="D217" s="125"/>
      <c r="E217" s="50" t="s">
        <v>79</v>
      </c>
      <c r="F217" s="161"/>
      <c r="G217" s="139" t="s">
        <v>84</v>
      </c>
      <c r="H217" s="161"/>
      <c r="I217" s="140" t="s">
        <v>85</v>
      </c>
      <c r="J217" s="140" t="s">
        <v>1208</v>
      </c>
      <c r="K217" s="140">
        <v>9</v>
      </c>
      <c r="L217" s="161"/>
      <c r="M217" s="125"/>
      <c r="N217" s="125"/>
      <c r="O217" s="125"/>
    </row>
    <row r="218" spans="1:15" ht="9.9499999999999993" customHeight="1">
      <c r="A218" s="237"/>
      <c r="B218" s="237"/>
      <c r="C218" s="22">
        <v>209</v>
      </c>
      <c r="D218" s="125"/>
      <c r="E218" s="50" t="s">
        <v>1115</v>
      </c>
      <c r="F218" s="161"/>
      <c r="G218" s="139" t="s">
        <v>788</v>
      </c>
      <c r="H218" s="161"/>
      <c r="I218" s="140" t="s">
        <v>789</v>
      </c>
      <c r="J218" s="140" t="s">
        <v>942</v>
      </c>
      <c r="K218" s="140">
        <v>6</v>
      </c>
      <c r="L218" s="161"/>
      <c r="M218" s="125"/>
      <c r="N218" s="125"/>
      <c r="O218" s="125"/>
    </row>
    <row r="219" spans="1:15" ht="9.9499999999999993" customHeight="1">
      <c r="A219" s="237"/>
      <c r="B219" s="237"/>
      <c r="C219" s="22">
        <v>210</v>
      </c>
      <c r="D219" s="125"/>
      <c r="E219" s="45" t="s">
        <v>70</v>
      </c>
      <c r="F219" s="161"/>
      <c r="G219" s="136" t="s">
        <v>356</v>
      </c>
      <c r="H219" s="161"/>
      <c r="I219" s="132" t="s">
        <v>357</v>
      </c>
      <c r="J219" s="137" t="s">
        <v>1208</v>
      </c>
      <c r="K219" s="138">
        <v>56</v>
      </c>
      <c r="L219" s="161"/>
      <c r="M219" s="125"/>
      <c r="N219" s="125"/>
      <c r="O219" s="125"/>
    </row>
    <row r="220" spans="1:15" ht="9.9499999999999993" customHeight="1">
      <c r="A220" s="237"/>
      <c r="B220" s="237"/>
      <c r="C220" s="22">
        <v>211</v>
      </c>
      <c r="D220" s="125"/>
      <c r="E220" s="75" t="s">
        <v>1112</v>
      </c>
      <c r="F220" s="161"/>
      <c r="G220" s="131" t="s">
        <v>358</v>
      </c>
      <c r="H220" s="161"/>
      <c r="I220" s="132" t="s">
        <v>772</v>
      </c>
      <c r="J220" s="137" t="s">
        <v>1208</v>
      </c>
      <c r="K220" s="138">
        <v>9</v>
      </c>
      <c r="L220" s="161"/>
      <c r="M220" s="125"/>
      <c r="N220" s="125"/>
      <c r="O220" s="125"/>
    </row>
    <row r="221" spans="1:15" ht="9.9499999999999993" customHeight="1">
      <c r="A221" s="237"/>
      <c r="B221" s="237"/>
      <c r="C221" s="22">
        <v>212</v>
      </c>
      <c r="D221" s="125"/>
      <c r="E221" s="70" t="s">
        <v>1114</v>
      </c>
      <c r="F221" s="161"/>
      <c r="G221" s="139" t="s">
        <v>359</v>
      </c>
      <c r="H221" s="161"/>
      <c r="I221" s="140" t="s">
        <v>782</v>
      </c>
      <c r="J221" s="140" t="s">
        <v>1208</v>
      </c>
      <c r="K221" s="143">
        <v>126</v>
      </c>
      <c r="L221" s="161"/>
      <c r="M221" s="125"/>
      <c r="N221" s="125"/>
      <c r="O221" s="125"/>
    </row>
    <row r="222" spans="1:15" ht="9.9499999999999993" customHeight="1">
      <c r="A222" s="237"/>
      <c r="B222" s="237"/>
      <c r="C222" s="22">
        <v>213</v>
      </c>
      <c r="D222" s="125"/>
      <c r="E222" s="50" t="s">
        <v>570</v>
      </c>
      <c r="F222" s="161"/>
      <c r="G222" s="139" t="s">
        <v>360</v>
      </c>
      <c r="H222" s="161"/>
      <c r="I222" s="140" t="s">
        <v>606</v>
      </c>
      <c r="J222" s="140" t="s">
        <v>87</v>
      </c>
      <c r="K222" s="140">
        <v>2</v>
      </c>
      <c r="L222" s="161"/>
      <c r="M222" s="125"/>
      <c r="N222" s="125"/>
      <c r="O222" s="125"/>
    </row>
    <row r="223" spans="1:15" ht="9.9499999999999993" customHeight="1">
      <c r="A223" s="237"/>
      <c r="B223" s="237"/>
      <c r="C223" s="22">
        <v>214</v>
      </c>
      <c r="D223" s="125"/>
      <c r="E223" s="50" t="s">
        <v>571</v>
      </c>
      <c r="F223" s="161"/>
      <c r="G223" s="139" t="s">
        <v>361</v>
      </c>
      <c r="H223" s="161"/>
      <c r="I223" s="140" t="s">
        <v>572</v>
      </c>
      <c r="J223" s="140" t="s">
        <v>87</v>
      </c>
      <c r="K223" s="140">
        <v>17</v>
      </c>
      <c r="L223" s="161"/>
      <c r="M223" s="125"/>
      <c r="N223" s="125"/>
      <c r="O223" s="125"/>
    </row>
    <row r="224" spans="1:15" ht="9.9499999999999993" customHeight="1">
      <c r="A224" s="237"/>
      <c r="B224" s="237"/>
      <c r="C224" s="22">
        <v>215</v>
      </c>
      <c r="D224" s="125"/>
      <c r="E224" s="75" t="s">
        <v>1066</v>
      </c>
      <c r="F224" s="161"/>
      <c r="G224" s="131" t="s">
        <v>174</v>
      </c>
      <c r="H224" s="161"/>
      <c r="I224" s="132" t="s">
        <v>756</v>
      </c>
      <c r="J224" s="137" t="s">
        <v>1208</v>
      </c>
      <c r="K224" s="138">
        <v>117</v>
      </c>
      <c r="L224" s="161"/>
      <c r="M224" s="125"/>
      <c r="N224" s="125"/>
      <c r="O224" s="125"/>
    </row>
    <row r="225" spans="1:15" ht="9.9499999999999993" customHeight="1">
      <c r="A225" s="237"/>
      <c r="B225" s="237"/>
      <c r="C225" s="22">
        <v>216</v>
      </c>
      <c r="D225" s="125"/>
      <c r="E225" s="45" t="s">
        <v>1114</v>
      </c>
      <c r="F225" s="161"/>
      <c r="G225" s="136" t="s">
        <v>190</v>
      </c>
      <c r="H225" s="161"/>
      <c r="I225" s="138" t="s">
        <v>777</v>
      </c>
      <c r="J225" s="137" t="s">
        <v>1208</v>
      </c>
      <c r="K225" s="138">
        <v>81</v>
      </c>
      <c r="L225" s="161"/>
      <c r="M225" s="125"/>
      <c r="N225" s="125"/>
      <c r="O225" s="125"/>
    </row>
    <row r="226" spans="1:15" ht="9.9499999999999993" customHeight="1">
      <c r="A226" s="237"/>
      <c r="B226" s="237"/>
      <c r="C226" s="22">
        <v>217</v>
      </c>
      <c r="D226" s="125"/>
      <c r="E226" s="45" t="s">
        <v>1066</v>
      </c>
      <c r="F226" s="161"/>
      <c r="G226" s="136" t="s">
        <v>179</v>
      </c>
      <c r="H226" s="161"/>
      <c r="I226" s="138" t="s">
        <v>760</v>
      </c>
      <c r="J226" s="137" t="s">
        <v>1208</v>
      </c>
      <c r="K226" s="138">
        <v>393</v>
      </c>
      <c r="L226" s="161"/>
      <c r="M226" s="125"/>
      <c r="N226" s="125"/>
      <c r="O226" s="125"/>
    </row>
    <row r="227" spans="1:15" ht="9.9499999999999993" customHeight="1">
      <c r="A227" s="237"/>
      <c r="B227" s="237"/>
      <c r="C227" s="22">
        <v>218</v>
      </c>
      <c r="D227" s="125"/>
      <c r="E227" s="99" t="s">
        <v>48</v>
      </c>
      <c r="F227" s="161"/>
      <c r="G227" s="141" t="s">
        <v>362</v>
      </c>
      <c r="H227" s="161"/>
      <c r="I227" s="142" t="s">
        <v>801</v>
      </c>
      <c r="J227" s="153" t="s">
        <v>1208</v>
      </c>
      <c r="K227" s="143">
        <v>96</v>
      </c>
      <c r="L227" s="161"/>
      <c r="M227" s="125"/>
      <c r="N227" s="125"/>
      <c r="O227" s="125"/>
    </row>
    <row r="228" spans="1:15" ht="9.9499999999999993" customHeight="1">
      <c r="A228" s="237"/>
      <c r="B228" s="237"/>
      <c r="C228" s="22">
        <v>219</v>
      </c>
      <c r="D228" s="125"/>
      <c r="E228" s="50" t="s">
        <v>48</v>
      </c>
      <c r="F228" s="161"/>
      <c r="G228" s="139" t="s">
        <v>363</v>
      </c>
      <c r="H228" s="161"/>
      <c r="I228" s="140" t="s">
        <v>803</v>
      </c>
      <c r="J228" s="140" t="s">
        <v>1208</v>
      </c>
      <c r="K228" s="140">
        <v>57</v>
      </c>
      <c r="L228" s="161"/>
      <c r="M228" s="125"/>
      <c r="N228" s="125"/>
      <c r="O228" s="125"/>
    </row>
    <row r="229" spans="1:15" ht="9.9499999999999993" customHeight="1">
      <c r="A229" s="237"/>
      <c r="B229" s="237"/>
      <c r="C229" s="22">
        <v>220</v>
      </c>
      <c r="D229" s="125"/>
      <c r="E229" s="50" t="s">
        <v>1115</v>
      </c>
      <c r="F229" s="161"/>
      <c r="G229" s="139" t="s">
        <v>650</v>
      </c>
      <c r="H229" s="161"/>
      <c r="I229" s="140" t="s">
        <v>651</v>
      </c>
      <c r="J229" s="140" t="s">
        <v>1208</v>
      </c>
      <c r="K229" s="140">
        <v>86</v>
      </c>
      <c r="L229" s="161"/>
      <c r="M229" s="125"/>
      <c r="N229" s="125"/>
      <c r="O229" s="125"/>
    </row>
    <row r="230" spans="1:15" ht="9.9499999999999993" customHeight="1">
      <c r="A230" s="237"/>
      <c r="B230" s="237"/>
      <c r="C230" s="22">
        <v>221</v>
      </c>
      <c r="D230" s="125"/>
      <c r="E230" s="45" t="s">
        <v>1114</v>
      </c>
      <c r="F230" s="161"/>
      <c r="G230" s="136" t="s">
        <v>646</v>
      </c>
      <c r="H230" s="161"/>
      <c r="I230" s="132" t="s">
        <v>647</v>
      </c>
      <c r="J230" s="137" t="s">
        <v>1208</v>
      </c>
      <c r="K230" s="138">
        <v>18</v>
      </c>
      <c r="L230" s="161"/>
      <c r="M230" s="125"/>
      <c r="N230" s="125"/>
      <c r="O230" s="125"/>
    </row>
    <row r="231" spans="1:15" ht="9.9499999999999993" customHeight="1">
      <c r="A231" s="237"/>
      <c r="B231" s="237"/>
      <c r="C231" s="22">
        <v>222</v>
      </c>
      <c r="D231" s="125"/>
      <c r="E231" s="45" t="s">
        <v>1149</v>
      </c>
      <c r="F231" s="161"/>
      <c r="G231" s="136" t="s">
        <v>663</v>
      </c>
      <c r="H231" s="161"/>
      <c r="I231" s="132" t="s">
        <v>664</v>
      </c>
      <c r="J231" s="137" t="s">
        <v>1208</v>
      </c>
      <c r="K231" s="138">
        <v>52</v>
      </c>
      <c r="L231" s="161"/>
      <c r="M231" s="125"/>
      <c r="N231" s="125"/>
      <c r="O231" s="125"/>
    </row>
    <row r="232" spans="1:15" ht="9.9499999999999993" customHeight="1">
      <c r="A232" s="237"/>
      <c r="B232" s="237"/>
      <c r="C232" s="22">
        <v>223</v>
      </c>
      <c r="D232" s="125"/>
      <c r="E232" s="70" t="s">
        <v>1149</v>
      </c>
      <c r="F232" s="161"/>
      <c r="G232" s="163" t="s">
        <v>665</v>
      </c>
      <c r="H232" s="161"/>
      <c r="I232" s="138" t="s">
        <v>666</v>
      </c>
      <c r="J232" s="138" t="s">
        <v>1208</v>
      </c>
      <c r="K232" s="138">
        <v>76</v>
      </c>
      <c r="L232" s="161"/>
      <c r="M232" s="125"/>
      <c r="N232" s="125"/>
      <c r="O232" s="125"/>
    </row>
    <row r="233" spans="1:15" ht="9.9499999999999993" customHeight="1">
      <c r="A233" s="237"/>
      <c r="B233" s="237"/>
      <c r="C233" s="22">
        <v>224</v>
      </c>
      <c r="D233" s="125"/>
      <c r="E233" s="75" t="s">
        <v>1066</v>
      </c>
      <c r="F233" s="161"/>
      <c r="G233" s="131" t="s">
        <v>625</v>
      </c>
      <c r="H233" s="161"/>
      <c r="I233" s="132" t="s">
        <v>626</v>
      </c>
      <c r="J233" s="137" t="s">
        <v>1208</v>
      </c>
      <c r="K233" s="138">
        <v>218</v>
      </c>
      <c r="L233" s="161"/>
      <c r="M233" s="125"/>
      <c r="N233" s="125"/>
      <c r="O233" s="125"/>
    </row>
    <row r="234" spans="1:15" ht="9.9499999999999993" customHeight="1">
      <c r="A234" s="237"/>
      <c r="B234" s="237"/>
      <c r="C234" s="22">
        <v>225</v>
      </c>
      <c r="D234" s="125"/>
      <c r="E234" s="70" t="s">
        <v>1066</v>
      </c>
      <c r="F234" s="161"/>
      <c r="G234" s="139" t="s">
        <v>633</v>
      </c>
      <c r="H234" s="161"/>
      <c r="I234" s="140" t="s">
        <v>634</v>
      </c>
      <c r="J234" s="140" t="s">
        <v>1208</v>
      </c>
      <c r="K234" s="143">
        <v>20</v>
      </c>
      <c r="L234" s="161"/>
      <c r="M234" s="125"/>
      <c r="N234" s="125"/>
      <c r="O234" s="125"/>
    </row>
    <row r="235" spans="1:15" ht="9.9499999999999993" customHeight="1">
      <c r="A235" s="237"/>
      <c r="B235" s="237"/>
      <c r="C235" s="22">
        <v>226</v>
      </c>
      <c r="D235" s="125"/>
      <c r="E235" s="50" t="s">
        <v>1114</v>
      </c>
      <c r="F235" s="161"/>
      <c r="G235" s="139" t="s">
        <v>648</v>
      </c>
      <c r="H235" s="161"/>
      <c r="I235" s="140" t="s">
        <v>649</v>
      </c>
      <c r="J235" s="140" t="s">
        <v>1208</v>
      </c>
      <c r="K235" s="140">
        <v>24</v>
      </c>
      <c r="L235" s="161"/>
      <c r="M235" s="125"/>
      <c r="N235" s="125"/>
      <c r="O235" s="125"/>
    </row>
    <row r="236" spans="1:15" ht="9.9499999999999993" customHeight="1">
      <c r="A236" s="237"/>
      <c r="B236" s="237"/>
      <c r="C236" s="22">
        <v>227</v>
      </c>
      <c r="D236" s="125"/>
      <c r="E236" s="50" t="s">
        <v>1066</v>
      </c>
      <c r="F236" s="161"/>
      <c r="G236" s="139" t="s">
        <v>364</v>
      </c>
      <c r="H236" s="161"/>
      <c r="I236" s="140" t="s">
        <v>764</v>
      </c>
      <c r="J236" s="140" t="s">
        <v>1208</v>
      </c>
      <c r="K236" s="140">
        <v>84</v>
      </c>
      <c r="L236" s="161"/>
      <c r="M236" s="125"/>
      <c r="N236" s="125"/>
      <c r="O236" s="125"/>
    </row>
    <row r="237" spans="1:15" ht="9.9499999999999993" customHeight="1">
      <c r="A237" s="237"/>
      <c r="B237" s="237"/>
      <c r="C237" s="22">
        <v>228</v>
      </c>
      <c r="D237" s="125"/>
      <c r="E237" s="33" t="s">
        <v>1112</v>
      </c>
      <c r="F237" s="161"/>
      <c r="G237" s="127" t="s">
        <v>181</v>
      </c>
      <c r="H237" s="161"/>
      <c r="I237" s="138" t="s">
        <v>637</v>
      </c>
      <c r="J237" s="138" t="s">
        <v>1208</v>
      </c>
      <c r="K237" s="138">
        <v>126</v>
      </c>
      <c r="L237" s="161"/>
      <c r="M237" s="125"/>
      <c r="N237" s="125"/>
      <c r="O237" s="125"/>
    </row>
    <row r="238" spans="1:15" ht="9.9499999999999993" customHeight="1">
      <c r="A238" s="237"/>
      <c r="B238" s="237"/>
      <c r="C238" s="22">
        <v>229</v>
      </c>
      <c r="D238" s="125"/>
      <c r="E238" s="75" t="s">
        <v>1115</v>
      </c>
      <c r="F238" s="161"/>
      <c r="G238" s="131" t="s">
        <v>652</v>
      </c>
      <c r="H238" s="161"/>
      <c r="I238" s="132" t="s">
        <v>653</v>
      </c>
      <c r="J238" s="137" t="s">
        <v>1208</v>
      </c>
      <c r="K238" s="138">
        <v>8</v>
      </c>
      <c r="L238" s="161"/>
      <c r="M238" s="125"/>
      <c r="N238" s="125"/>
      <c r="O238" s="125"/>
    </row>
    <row r="239" spans="1:15" ht="9.9499999999999993" customHeight="1">
      <c r="A239" s="237"/>
      <c r="B239" s="237"/>
      <c r="C239" s="22">
        <v>230</v>
      </c>
      <c r="D239" s="125"/>
      <c r="E239" s="50" t="s">
        <v>1114</v>
      </c>
      <c r="F239" s="161"/>
      <c r="G239" s="139" t="s">
        <v>644</v>
      </c>
      <c r="H239" s="161"/>
      <c r="I239" s="140" t="s">
        <v>645</v>
      </c>
      <c r="J239" s="140" t="s">
        <v>1208</v>
      </c>
      <c r="K239" s="140">
        <v>208</v>
      </c>
      <c r="L239" s="161"/>
      <c r="M239" s="125"/>
      <c r="N239" s="125"/>
      <c r="O239" s="125"/>
    </row>
    <row r="240" spans="1:15" ht="9.9499999999999993" customHeight="1">
      <c r="A240" s="237"/>
      <c r="B240" s="237"/>
      <c r="C240" s="22">
        <v>231</v>
      </c>
      <c r="D240" s="125"/>
      <c r="E240" s="50" t="s">
        <v>1066</v>
      </c>
      <c r="F240" s="161"/>
      <c r="G240" s="139" t="s">
        <v>631</v>
      </c>
      <c r="H240" s="161"/>
      <c r="I240" s="140" t="s">
        <v>632</v>
      </c>
      <c r="J240" s="140" t="s">
        <v>1208</v>
      </c>
      <c r="K240" s="140">
        <v>15</v>
      </c>
      <c r="L240" s="161"/>
      <c r="M240" s="125"/>
      <c r="N240" s="125"/>
      <c r="O240" s="125"/>
    </row>
    <row r="241" spans="1:15" ht="9.9499999999999993" customHeight="1">
      <c r="A241" s="237"/>
      <c r="B241" s="237"/>
      <c r="C241" s="22">
        <v>232</v>
      </c>
      <c r="D241" s="125"/>
      <c r="E241" s="45" t="s">
        <v>64</v>
      </c>
      <c r="F241" s="161"/>
      <c r="G241" s="136" t="s">
        <v>173</v>
      </c>
      <c r="H241" s="161"/>
      <c r="I241" s="132" t="s">
        <v>623</v>
      </c>
      <c r="J241" s="137" t="s">
        <v>1208</v>
      </c>
      <c r="K241" s="138">
        <v>44</v>
      </c>
      <c r="L241" s="161"/>
      <c r="M241" s="125"/>
      <c r="N241" s="125"/>
      <c r="O241" s="125"/>
    </row>
    <row r="242" spans="1:15" ht="9.9499999999999993" customHeight="1">
      <c r="A242" s="237"/>
      <c r="B242" s="237"/>
      <c r="C242" s="22">
        <v>233</v>
      </c>
      <c r="D242" s="125"/>
      <c r="E242" s="75" t="s">
        <v>1115</v>
      </c>
      <c r="F242" s="161"/>
      <c r="G242" s="131" t="s">
        <v>365</v>
      </c>
      <c r="H242" s="161"/>
      <c r="I242" s="132" t="s">
        <v>194</v>
      </c>
      <c r="J242" s="137" t="s">
        <v>1208</v>
      </c>
      <c r="K242" s="138">
        <v>3</v>
      </c>
      <c r="L242" s="161"/>
      <c r="M242" s="125"/>
      <c r="N242" s="125"/>
      <c r="O242" s="125"/>
    </row>
    <row r="243" spans="1:15" ht="9.9499999999999993" customHeight="1">
      <c r="A243" s="237"/>
      <c r="B243" s="237"/>
      <c r="C243" s="22">
        <v>234</v>
      </c>
      <c r="D243" s="125"/>
      <c r="E243" s="109" t="s">
        <v>1146</v>
      </c>
      <c r="F243" s="161"/>
      <c r="G243" s="139" t="s">
        <v>661</v>
      </c>
      <c r="H243" s="161"/>
      <c r="I243" s="140" t="s">
        <v>662</v>
      </c>
      <c r="J243" s="200" t="s">
        <v>1208</v>
      </c>
      <c r="K243" s="143">
        <v>12</v>
      </c>
      <c r="L243" s="161"/>
      <c r="M243" s="125"/>
      <c r="N243" s="125"/>
      <c r="O243" s="125"/>
    </row>
    <row r="244" spans="1:15" ht="9.9499999999999993" customHeight="1">
      <c r="A244" s="237"/>
      <c r="B244" s="237"/>
      <c r="C244" s="22">
        <v>235</v>
      </c>
      <c r="D244" s="125"/>
      <c r="E244" s="50" t="s">
        <v>64</v>
      </c>
      <c r="F244" s="161"/>
      <c r="G244" s="139" t="s">
        <v>751</v>
      </c>
      <c r="H244" s="161"/>
      <c r="I244" s="140" t="s">
        <v>752</v>
      </c>
      <c r="J244" s="200" t="s">
        <v>1208</v>
      </c>
      <c r="K244" s="140">
        <v>9</v>
      </c>
      <c r="L244" s="161"/>
      <c r="M244" s="125"/>
      <c r="N244" s="125"/>
      <c r="O244" s="125"/>
    </row>
    <row r="245" spans="1:15" ht="9.9499999999999993" customHeight="1">
      <c r="A245" s="237"/>
      <c r="B245" s="237"/>
      <c r="C245" s="22">
        <v>236</v>
      </c>
      <c r="D245" s="125"/>
      <c r="E245" s="50" t="s">
        <v>1112</v>
      </c>
      <c r="F245" s="161"/>
      <c r="G245" s="139" t="s">
        <v>185</v>
      </c>
      <c r="H245" s="161"/>
      <c r="I245" s="140" t="s">
        <v>186</v>
      </c>
      <c r="J245" s="200" t="s">
        <v>1208</v>
      </c>
      <c r="K245" s="140">
        <v>18</v>
      </c>
      <c r="L245" s="161"/>
      <c r="M245" s="125"/>
      <c r="N245" s="125"/>
      <c r="O245" s="125"/>
    </row>
    <row r="246" spans="1:15" ht="9.9499999999999993" customHeight="1">
      <c r="A246" s="237"/>
      <c r="B246" s="237"/>
      <c r="C246" s="22">
        <v>237</v>
      </c>
      <c r="D246" s="125"/>
      <c r="E246" s="75" t="s">
        <v>1066</v>
      </c>
      <c r="F246" s="161"/>
      <c r="G246" s="131" t="s">
        <v>175</v>
      </c>
      <c r="H246" s="161"/>
      <c r="I246" s="132" t="s">
        <v>757</v>
      </c>
      <c r="J246" s="137" t="s">
        <v>1208</v>
      </c>
      <c r="K246" s="138">
        <v>33</v>
      </c>
      <c r="L246" s="161"/>
      <c r="M246" s="125"/>
      <c r="N246" s="125"/>
      <c r="O246" s="125"/>
    </row>
    <row r="247" spans="1:15" ht="9.9499999999999993" customHeight="1">
      <c r="A247" s="237"/>
      <c r="B247" s="237"/>
      <c r="C247" s="22">
        <v>238</v>
      </c>
      <c r="D247" s="125"/>
      <c r="E247" s="75" t="s">
        <v>1113</v>
      </c>
      <c r="F247" s="161"/>
      <c r="G247" s="131" t="s">
        <v>640</v>
      </c>
      <c r="H247" s="161"/>
      <c r="I247" s="132" t="s">
        <v>641</v>
      </c>
      <c r="J247" s="137" t="s">
        <v>1208</v>
      </c>
      <c r="K247" s="138">
        <v>134</v>
      </c>
      <c r="L247" s="161"/>
      <c r="M247" s="125"/>
      <c r="N247" s="125"/>
      <c r="O247" s="125"/>
    </row>
    <row r="248" spans="1:15" ht="9.9499999999999993" customHeight="1">
      <c r="A248" s="237"/>
      <c r="B248" s="237"/>
      <c r="C248" s="22">
        <v>239</v>
      </c>
      <c r="D248" s="125"/>
      <c r="E248" s="75" t="s">
        <v>1115</v>
      </c>
      <c r="F248" s="161"/>
      <c r="G248" s="131" t="s">
        <v>192</v>
      </c>
      <c r="H248" s="161"/>
      <c r="I248" s="132" t="s">
        <v>784</v>
      </c>
      <c r="J248" s="137" t="s">
        <v>1208</v>
      </c>
      <c r="K248" s="138">
        <v>24</v>
      </c>
      <c r="L248" s="161"/>
      <c r="M248" s="125"/>
      <c r="N248" s="125"/>
      <c r="O248" s="125"/>
    </row>
    <row r="249" spans="1:15" ht="9.9499999999999993" customHeight="1">
      <c r="A249" s="237"/>
      <c r="B249" s="237"/>
      <c r="C249" s="22">
        <v>240</v>
      </c>
      <c r="D249" s="125"/>
      <c r="E249" s="75" t="s">
        <v>1066</v>
      </c>
      <c r="F249" s="161"/>
      <c r="G249" s="131" t="s">
        <v>629</v>
      </c>
      <c r="H249" s="161"/>
      <c r="I249" s="132" t="s">
        <v>630</v>
      </c>
      <c r="J249" s="137" t="s">
        <v>1208</v>
      </c>
      <c r="K249" s="138">
        <v>19</v>
      </c>
      <c r="L249" s="161"/>
      <c r="M249" s="125"/>
      <c r="N249" s="125"/>
      <c r="O249" s="125"/>
    </row>
    <row r="250" spans="1:15" ht="9.9499999999999993" customHeight="1">
      <c r="A250" s="237"/>
      <c r="B250" s="237"/>
      <c r="C250" s="22">
        <v>241</v>
      </c>
      <c r="D250" s="125"/>
      <c r="E250" s="75" t="s">
        <v>1112</v>
      </c>
      <c r="F250" s="161"/>
      <c r="G250" s="131" t="s">
        <v>180</v>
      </c>
      <c r="H250" s="161"/>
      <c r="I250" s="132" t="s">
        <v>769</v>
      </c>
      <c r="J250" s="137" t="s">
        <v>1208</v>
      </c>
      <c r="K250" s="138">
        <v>9</v>
      </c>
      <c r="L250" s="161"/>
      <c r="M250" s="125"/>
      <c r="N250" s="125"/>
      <c r="O250" s="125"/>
    </row>
    <row r="251" spans="1:15" ht="9.9499999999999993" customHeight="1">
      <c r="A251" s="237"/>
      <c r="B251" s="237"/>
      <c r="C251" s="22">
        <v>242</v>
      </c>
      <c r="D251" s="125"/>
      <c r="E251" s="75" t="s">
        <v>1112</v>
      </c>
      <c r="F251" s="161"/>
      <c r="G251" s="131" t="s">
        <v>638</v>
      </c>
      <c r="H251" s="161"/>
      <c r="I251" s="132" t="s">
        <v>639</v>
      </c>
      <c r="J251" s="137" t="s">
        <v>1208</v>
      </c>
      <c r="K251" s="138">
        <v>20</v>
      </c>
      <c r="L251" s="161"/>
      <c r="M251" s="125"/>
      <c r="N251" s="125"/>
      <c r="O251" s="125"/>
    </row>
    <row r="252" spans="1:15" ht="9.9499999999999993" customHeight="1">
      <c r="A252" s="237"/>
      <c r="B252" s="237"/>
      <c r="C252" s="22">
        <v>243</v>
      </c>
      <c r="D252" s="125"/>
      <c r="E252" s="75" t="s">
        <v>1114</v>
      </c>
      <c r="F252" s="161"/>
      <c r="G252" s="131" t="s">
        <v>191</v>
      </c>
      <c r="H252" s="161"/>
      <c r="I252" s="132" t="s">
        <v>781</v>
      </c>
      <c r="J252" s="137" t="s">
        <v>1208</v>
      </c>
      <c r="K252" s="138">
        <v>162</v>
      </c>
      <c r="L252" s="161"/>
      <c r="M252" s="125"/>
      <c r="N252" s="125"/>
      <c r="O252" s="125"/>
    </row>
    <row r="253" spans="1:15" ht="9.9499999999999993" customHeight="1">
      <c r="A253" s="237"/>
      <c r="B253" s="237"/>
      <c r="C253" s="22">
        <v>244</v>
      </c>
      <c r="D253" s="125"/>
      <c r="E253" s="75" t="s">
        <v>1066</v>
      </c>
      <c r="F253" s="161"/>
      <c r="G253" s="131" t="s">
        <v>627</v>
      </c>
      <c r="H253" s="161"/>
      <c r="I253" s="132" t="s">
        <v>628</v>
      </c>
      <c r="J253" s="137" t="s">
        <v>1208</v>
      </c>
      <c r="K253" s="138">
        <v>18</v>
      </c>
      <c r="L253" s="161"/>
      <c r="M253" s="125"/>
      <c r="N253" s="125"/>
      <c r="O253" s="125"/>
    </row>
    <row r="254" spans="1:15" ht="9.9499999999999993" customHeight="1">
      <c r="A254" s="237"/>
      <c r="B254" s="237"/>
      <c r="C254" s="22">
        <v>245</v>
      </c>
      <c r="D254" s="125"/>
      <c r="E254" s="75" t="s">
        <v>1113</v>
      </c>
      <c r="F254" s="161"/>
      <c r="G254" s="131" t="s">
        <v>189</v>
      </c>
      <c r="H254" s="161"/>
      <c r="I254" s="132" t="s">
        <v>771</v>
      </c>
      <c r="J254" s="137" t="s">
        <v>1208</v>
      </c>
      <c r="K254" s="138">
        <v>117</v>
      </c>
      <c r="L254" s="161"/>
      <c r="M254" s="125"/>
      <c r="N254" s="125"/>
      <c r="O254" s="125"/>
    </row>
    <row r="255" spans="1:15" ht="9.9499999999999993" customHeight="1">
      <c r="A255" s="237"/>
      <c r="B255" s="237"/>
      <c r="C255" s="22">
        <v>246</v>
      </c>
      <c r="D255" s="125"/>
      <c r="E255" s="45" t="s">
        <v>1146</v>
      </c>
      <c r="F255" s="161"/>
      <c r="G255" s="133" t="s">
        <v>659</v>
      </c>
      <c r="H255" s="161"/>
      <c r="I255" s="132" t="s">
        <v>660</v>
      </c>
      <c r="J255" s="137" t="s">
        <v>1208</v>
      </c>
      <c r="K255" s="138">
        <v>0</v>
      </c>
      <c r="L255" s="161"/>
      <c r="M255" s="125"/>
      <c r="N255" s="125"/>
      <c r="O255" s="125"/>
    </row>
    <row r="256" spans="1:15" ht="9.9499999999999993" customHeight="1">
      <c r="A256" s="237"/>
      <c r="B256" s="237"/>
      <c r="C256" s="22">
        <v>247</v>
      </c>
      <c r="D256" s="125"/>
      <c r="E256" s="45" t="s">
        <v>1150</v>
      </c>
      <c r="F256" s="161"/>
      <c r="G256" s="133" t="s">
        <v>667</v>
      </c>
      <c r="H256" s="161"/>
      <c r="I256" s="132" t="s">
        <v>668</v>
      </c>
      <c r="J256" s="137" t="s">
        <v>1208</v>
      </c>
      <c r="K256" s="138">
        <v>15</v>
      </c>
      <c r="L256" s="161"/>
      <c r="M256" s="125"/>
      <c r="N256" s="125"/>
      <c r="O256" s="125"/>
    </row>
    <row r="257" spans="1:15" ht="9.9499999999999993" customHeight="1">
      <c r="A257" s="237"/>
      <c r="B257" s="237"/>
      <c r="C257" s="22">
        <v>248</v>
      </c>
      <c r="D257" s="125"/>
      <c r="E257" s="45" t="s">
        <v>1150</v>
      </c>
      <c r="F257" s="161"/>
      <c r="G257" s="133" t="s">
        <v>809</v>
      </c>
      <c r="H257" s="161"/>
      <c r="I257" s="132" t="s">
        <v>676</v>
      </c>
      <c r="J257" s="137" t="s">
        <v>1208</v>
      </c>
      <c r="K257" s="138">
        <v>3</v>
      </c>
      <c r="L257" s="161"/>
      <c r="M257" s="125"/>
      <c r="N257" s="125"/>
      <c r="O257" s="125"/>
    </row>
    <row r="258" spans="1:15" ht="9.9499999999999993" customHeight="1">
      <c r="A258" s="237"/>
      <c r="B258" s="237"/>
      <c r="C258" s="22">
        <v>249</v>
      </c>
      <c r="D258" s="125"/>
      <c r="E258" s="50" t="s">
        <v>1112</v>
      </c>
      <c r="F258" s="161"/>
      <c r="G258" s="198" t="s">
        <v>184</v>
      </c>
      <c r="H258" s="161"/>
      <c r="I258" s="140" t="s">
        <v>770</v>
      </c>
      <c r="J258" s="200" t="s">
        <v>1208</v>
      </c>
      <c r="K258" s="140">
        <v>87</v>
      </c>
      <c r="L258" s="161"/>
      <c r="M258" s="125"/>
      <c r="N258" s="125"/>
      <c r="O258" s="125"/>
    </row>
    <row r="259" spans="1:15" ht="9.9499999999999993" customHeight="1">
      <c r="A259" s="237"/>
      <c r="B259" s="237"/>
      <c r="C259" s="22">
        <v>250</v>
      </c>
      <c r="D259" s="125"/>
      <c r="E259" s="50" t="s">
        <v>1115</v>
      </c>
      <c r="F259" s="161"/>
      <c r="G259" s="198" t="s">
        <v>193</v>
      </c>
      <c r="H259" s="161"/>
      <c r="I259" s="140" t="s">
        <v>786</v>
      </c>
      <c r="J259" s="200" t="s">
        <v>1208</v>
      </c>
      <c r="K259" s="140">
        <v>33</v>
      </c>
      <c r="L259" s="161"/>
      <c r="M259" s="125"/>
      <c r="N259" s="125"/>
      <c r="O259" s="125"/>
    </row>
    <row r="260" spans="1:15" ht="9.9499999999999993" customHeight="1">
      <c r="A260" s="237"/>
      <c r="B260" s="237"/>
      <c r="C260" s="22">
        <v>251</v>
      </c>
      <c r="D260" s="125"/>
      <c r="E260" s="45" t="s">
        <v>45</v>
      </c>
      <c r="F260" s="161"/>
      <c r="G260" s="136" t="s">
        <v>366</v>
      </c>
      <c r="H260" s="161"/>
      <c r="I260" s="132" t="s">
        <v>795</v>
      </c>
      <c r="J260" s="137" t="s">
        <v>1208</v>
      </c>
      <c r="K260" s="138">
        <v>6</v>
      </c>
      <c r="L260" s="161"/>
      <c r="M260" s="125"/>
      <c r="N260" s="125"/>
      <c r="O260" s="125"/>
    </row>
    <row r="261" spans="1:15" ht="9.9499999999999993" customHeight="1">
      <c r="A261" s="237"/>
      <c r="B261" s="237"/>
      <c r="C261" s="22">
        <v>252</v>
      </c>
      <c r="D261" s="125"/>
      <c r="E261" s="45" t="s">
        <v>39</v>
      </c>
      <c r="F261" s="161"/>
      <c r="G261" s="136" t="s">
        <v>367</v>
      </c>
      <c r="H261" s="161"/>
      <c r="I261" s="132" t="s">
        <v>791</v>
      </c>
      <c r="J261" s="137" t="s">
        <v>1208</v>
      </c>
      <c r="K261" s="138">
        <v>0</v>
      </c>
      <c r="L261" s="161"/>
      <c r="M261" s="125"/>
      <c r="N261" s="125"/>
      <c r="O261" s="125"/>
    </row>
    <row r="262" spans="1:15" ht="9.9499999999999993" customHeight="1">
      <c r="A262" s="237"/>
      <c r="B262" s="237"/>
      <c r="C262" s="22">
        <v>253</v>
      </c>
      <c r="D262" s="125"/>
      <c r="E262" s="99" t="s">
        <v>64</v>
      </c>
      <c r="F262" s="161"/>
      <c r="G262" s="141" t="s">
        <v>754</v>
      </c>
      <c r="H262" s="161"/>
      <c r="I262" s="142" t="s">
        <v>755</v>
      </c>
      <c r="J262" s="137" t="s">
        <v>1208</v>
      </c>
      <c r="K262" s="143">
        <v>3</v>
      </c>
      <c r="L262" s="161"/>
      <c r="M262" s="125"/>
      <c r="N262" s="125"/>
      <c r="O262" s="125"/>
    </row>
    <row r="263" spans="1:15" ht="9.9499999999999993" customHeight="1">
      <c r="A263" s="237"/>
      <c r="B263" s="237"/>
      <c r="C263" s="22">
        <v>254</v>
      </c>
      <c r="D263" s="125"/>
      <c r="E263" s="50" t="s">
        <v>1112</v>
      </c>
      <c r="F263" s="161"/>
      <c r="G263" s="198" t="s">
        <v>182</v>
      </c>
      <c r="H263" s="161"/>
      <c r="I263" s="200" t="s">
        <v>183</v>
      </c>
      <c r="J263" s="200" t="s">
        <v>1208</v>
      </c>
      <c r="K263" s="140">
        <v>18</v>
      </c>
      <c r="L263" s="161"/>
      <c r="M263" s="125"/>
      <c r="N263" s="125"/>
      <c r="O263" s="125"/>
    </row>
    <row r="264" spans="1:15" ht="9.9499999999999993" customHeight="1">
      <c r="A264" s="237"/>
      <c r="B264" s="237"/>
      <c r="C264" s="22">
        <v>255</v>
      </c>
      <c r="D264" s="125"/>
      <c r="E264" s="50" t="s">
        <v>24</v>
      </c>
      <c r="F264" s="161"/>
      <c r="G264" s="198" t="s">
        <v>642</v>
      </c>
      <c r="H264" s="161"/>
      <c r="I264" s="200" t="s">
        <v>643</v>
      </c>
      <c r="J264" s="200" t="s">
        <v>1208</v>
      </c>
      <c r="K264" s="140">
        <v>36</v>
      </c>
      <c r="L264" s="161"/>
      <c r="M264" s="125"/>
      <c r="N264" s="125"/>
      <c r="O264" s="125"/>
    </row>
    <row r="265" spans="1:15" ht="9.9499999999999993" customHeight="1">
      <c r="A265" s="237"/>
      <c r="B265" s="237"/>
      <c r="C265" s="22">
        <v>256</v>
      </c>
      <c r="D265" s="125"/>
      <c r="E265" s="70" t="s">
        <v>1066</v>
      </c>
      <c r="F265" s="161"/>
      <c r="G265" s="139" t="s">
        <v>176</v>
      </c>
      <c r="H265" s="161"/>
      <c r="I265" s="140" t="s">
        <v>758</v>
      </c>
      <c r="J265" s="140" t="s">
        <v>1208</v>
      </c>
      <c r="K265" s="143">
        <v>57</v>
      </c>
      <c r="L265" s="161"/>
      <c r="M265" s="125"/>
      <c r="N265" s="125"/>
      <c r="O265" s="125"/>
    </row>
    <row r="266" spans="1:15" ht="9.9499999999999993" customHeight="1">
      <c r="A266" s="237"/>
      <c r="B266" s="237"/>
      <c r="C266" s="22">
        <v>257</v>
      </c>
      <c r="D266" s="125"/>
      <c r="E266" s="50" t="s">
        <v>1066</v>
      </c>
      <c r="F266" s="161"/>
      <c r="G266" s="139" t="s">
        <v>177</v>
      </c>
      <c r="H266" s="161"/>
      <c r="I266" s="140" t="s">
        <v>178</v>
      </c>
      <c r="J266" s="140" t="s">
        <v>1208</v>
      </c>
      <c r="K266" s="140">
        <v>0</v>
      </c>
      <c r="L266" s="161"/>
      <c r="M266" s="125"/>
      <c r="N266" s="125"/>
      <c r="O266" s="125"/>
    </row>
    <row r="267" spans="1:15" ht="9.9499999999999993" customHeight="1">
      <c r="A267" s="237"/>
      <c r="B267" s="237"/>
      <c r="C267" s="22">
        <v>258</v>
      </c>
      <c r="D267" s="125"/>
      <c r="E267" s="50" t="s">
        <v>1114</v>
      </c>
      <c r="F267" s="161"/>
      <c r="G267" s="139" t="s">
        <v>368</v>
      </c>
      <c r="H267" s="161"/>
      <c r="I267" s="140" t="s">
        <v>778</v>
      </c>
      <c r="J267" s="140" t="s">
        <v>1208</v>
      </c>
      <c r="K267" s="140">
        <v>0</v>
      </c>
      <c r="L267" s="161"/>
      <c r="M267" s="125"/>
      <c r="N267" s="125"/>
      <c r="O267" s="125"/>
    </row>
    <row r="268" spans="1:15" ht="9.9499999999999993" customHeight="1">
      <c r="A268" s="237"/>
      <c r="B268" s="237"/>
      <c r="C268" s="22">
        <v>259</v>
      </c>
      <c r="D268" s="125"/>
      <c r="E268" s="75" t="s">
        <v>45</v>
      </c>
      <c r="F268" s="161"/>
      <c r="G268" s="131" t="s">
        <v>369</v>
      </c>
      <c r="H268" s="161"/>
      <c r="I268" s="132" t="s">
        <v>794</v>
      </c>
      <c r="J268" s="137" t="s">
        <v>1208</v>
      </c>
      <c r="K268" s="138">
        <v>0</v>
      </c>
      <c r="L268" s="161"/>
      <c r="M268" s="125"/>
      <c r="N268" s="125"/>
      <c r="O268" s="125"/>
    </row>
    <row r="269" spans="1:15" ht="9.9499999999999993" customHeight="1">
      <c r="A269" s="237"/>
      <c r="B269" s="237"/>
      <c r="C269" s="22">
        <v>260</v>
      </c>
      <c r="D269" s="125"/>
      <c r="E269" s="33" t="s">
        <v>1115</v>
      </c>
      <c r="F269" s="161"/>
      <c r="G269" s="133" t="s">
        <v>370</v>
      </c>
      <c r="H269" s="161"/>
      <c r="I269" s="138" t="s">
        <v>785</v>
      </c>
      <c r="J269" s="129" t="s">
        <v>1208</v>
      </c>
      <c r="K269" s="129">
        <v>0</v>
      </c>
      <c r="L269" s="161"/>
      <c r="M269" s="125"/>
      <c r="N269" s="125"/>
      <c r="O269" s="125"/>
    </row>
    <row r="270" spans="1:15" ht="9.9499999999999993" customHeight="1">
      <c r="A270" s="237"/>
      <c r="B270" s="237"/>
      <c r="C270" s="22">
        <v>261</v>
      </c>
      <c r="D270" s="125"/>
      <c r="E270" s="45" t="s">
        <v>48</v>
      </c>
      <c r="F270" s="161"/>
      <c r="G270" s="136" t="s">
        <v>371</v>
      </c>
      <c r="H270" s="161"/>
      <c r="I270" s="138" t="s">
        <v>799</v>
      </c>
      <c r="J270" s="137" t="s">
        <v>1208</v>
      </c>
      <c r="K270" s="138">
        <v>0</v>
      </c>
      <c r="L270" s="161"/>
      <c r="M270" s="125"/>
      <c r="N270" s="125"/>
      <c r="O270" s="125"/>
    </row>
    <row r="271" spans="1:15" ht="9.9499999999999993" customHeight="1">
      <c r="A271" s="237"/>
      <c r="B271" s="237"/>
      <c r="C271" s="22">
        <v>262</v>
      </c>
      <c r="D271" s="125"/>
      <c r="E271" s="45" t="s">
        <v>1146</v>
      </c>
      <c r="F271" s="161"/>
      <c r="G271" s="136" t="s">
        <v>199</v>
      </c>
      <c r="H271" s="161"/>
      <c r="I271" s="138" t="s">
        <v>793</v>
      </c>
      <c r="J271" s="137" t="s">
        <v>1208</v>
      </c>
      <c r="K271" s="138">
        <v>3</v>
      </c>
      <c r="L271" s="161"/>
      <c r="M271" s="125"/>
      <c r="N271" s="125"/>
      <c r="O271" s="125"/>
    </row>
    <row r="272" spans="1:15" ht="9.9499999999999993" customHeight="1">
      <c r="A272" s="237"/>
      <c r="B272" s="237"/>
      <c r="C272" s="22">
        <v>263</v>
      </c>
      <c r="D272" s="125"/>
      <c r="E272" s="45" t="s">
        <v>64</v>
      </c>
      <c r="F272" s="161"/>
      <c r="G272" s="136" t="s">
        <v>621</v>
      </c>
      <c r="H272" s="161"/>
      <c r="I272" s="138" t="s">
        <v>622</v>
      </c>
      <c r="J272" s="137" t="s">
        <v>1208</v>
      </c>
      <c r="K272" s="138">
        <v>11</v>
      </c>
      <c r="L272" s="161"/>
      <c r="M272" s="125"/>
      <c r="N272" s="125"/>
      <c r="O272" s="125"/>
    </row>
    <row r="273" spans="1:15" ht="9.9499999999999993" customHeight="1">
      <c r="A273" s="237"/>
      <c r="B273" s="237"/>
      <c r="C273" s="22">
        <v>264</v>
      </c>
      <c r="D273" s="125"/>
      <c r="E273" s="86" t="s">
        <v>1066</v>
      </c>
      <c r="F273" s="161"/>
      <c r="G273" s="201" t="s">
        <v>635</v>
      </c>
      <c r="H273" s="161"/>
      <c r="I273" s="171" t="s">
        <v>636</v>
      </c>
      <c r="J273" s="137" t="s">
        <v>1208</v>
      </c>
      <c r="K273" s="171">
        <v>10</v>
      </c>
      <c r="L273" s="161"/>
      <c r="M273" s="125"/>
      <c r="N273" s="125"/>
      <c r="O273" s="125"/>
    </row>
    <row r="274" spans="1:15" ht="9.9499999999999993" customHeight="1">
      <c r="A274" s="237"/>
      <c r="B274" s="237"/>
      <c r="C274" s="22">
        <v>265</v>
      </c>
      <c r="D274" s="125"/>
      <c r="E274" s="86" t="s">
        <v>1112</v>
      </c>
      <c r="F274" s="161"/>
      <c r="G274" s="201" t="s">
        <v>187</v>
      </c>
      <c r="H274" s="161"/>
      <c r="I274" s="171" t="s">
        <v>188</v>
      </c>
      <c r="J274" s="137" t="s">
        <v>1208</v>
      </c>
      <c r="K274" s="171">
        <v>0</v>
      </c>
      <c r="L274" s="161"/>
      <c r="M274" s="125"/>
      <c r="N274" s="125"/>
      <c r="O274" s="125"/>
    </row>
    <row r="275" spans="1:15" ht="9.9499999999999993" customHeight="1">
      <c r="A275" s="237"/>
      <c r="B275" s="237"/>
      <c r="C275" s="22">
        <v>266</v>
      </c>
      <c r="D275" s="125"/>
      <c r="E275" s="99" t="s">
        <v>39</v>
      </c>
      <c r="F275" s="161"/>
      <c r="G275" s="141" t="s">
        <v>372</v>
      </c>
      <c r="H275" s="161"/>
      <c r="I275" s="142" t="s">
        <v>792</v>
      </c>
      <c r="J275" s="153" t="s">
        <v>1208</v>
      </c>
      <c r="K275" s="143">
        <v>0</v>
      </c>
      <c r="L275" s="161"/>
      <c r="M275" s="125"/>
      <c r="N275" s="125"/>
      <c r="O275" s="125"/>
    </row>
    <row r="276" spans="1:15" ht="9.9499999999999993" customHeight="1">
      <c r="A276" s="237"/>
      <c r="B276" s="237"/>
      <c r="C276" s="22">
        <v>267</v>
      </c>
      <c r="D276" s="125"/>
      <c r="E276" s="50" t="s">
        <v>1113</v>
      </c>
      <c r="F276" s="161"/>
      <c r="G276" s="139" t="s">
        <v>373</v>
      </c>
      <c r="H276" s="161"/>
      <c r="I276" s="140" t="s">
        <v>773</v>
      </c>
      <c r="J276" s="140" t="s">
        <v>1208</v>
      </c>
      <c r="K276" s="140">
        <v>12</v>
      </c>
      <c r="L276" s="161"/>
      <c r="M276" s="125"/>
      <c r="N276" s="125"/>
      <c r="O276" s="125"/>
    </row>
    <row r="277" spans="1:15" ht="9.9499999999999993" customHeight="1">
      <c r="A277" s="237"/>
      <c r="B277" s="237"/>
      <c r="C277" s="22">
        <v>268</v>
      </c>
      <c r="D277" s="125"/>
      <c r="E277" s="50" t="s">
        <v>1115</v>
      </c>
      <c r="F277" s="161"/>
      <c r="G277" s="139" t="s">
        <v>374</v>
      </c>
      <c r="H277" s="161"/>
      <c r="I277" s="140" t="s">
        <v>787</v>
      </c>
      <c r="J277" s="140" t="s">
        <v>1208</v>
      </c>
      <c r="K277" s="140">
        <v>21</v>
      </c>
      <c r="L277" s="161"/>
      <c r="M277" s="125"/>
      <c r="N277" s="125"/>
      <c r="O277" s="125"/>
    </row>
    <row r="278" spans="1:15" ht="9.9499999999999993" customHeight="1">
      <c r="A278" s="237"/>
      <c r="B278" s="237"/>
      <c r="C278" s="22">
        <v>269</v>
      </c>
      <c r="D278" s="125"/>
      <c r="E278" s="70" t="s">
        <v>64</v>
      </c>
      <c r="F278" s="161"/>
      <c r="G278" s="139" t="s">
        <v>375</v>
      </c>
      <c r="H278" s="161"/>
      <c r="I278" s="140" t="s">
        <v>750</v>
      </c>
      <c r="J278" s="140" t="s">
        <v>1208</v>
      </c>
      <c r="K278" s="143">
        <v>3</v>
      </c>
      <c r="L278" s="161"/>
      <c r="M278" s="125"/>
      <c r="N278" s="125"/>
      <c r="O278" s="125"/>
    </row>
    <row r="279" spans="1:15" ht="9.9499999999999993" customHeight="1">
      <c r="A279" s="237"/>
      <c r="B279" s="237"/>
      <c r="C279" s="22">
        <v>270</v>
      </c>
      <c r="D279" s="125"/>
      <c r="E279" s="50" t="s">
        <v>1149</v>
      </c>
      <c r="F279" s="161"/>
      <c r="G279" s="139" t="s">
        <v>810</v>
      </c>
      <c r="H279" s="161"/>
      <c r="I279" s="140" t="s">
        <v>811</v>
      </c>
      <c r="J279" s="140" t="s">
        <v>1208</v>
      </c>
      <c r="K279" s="140">
        <v>3</v>
      </c>
      <c r="L279" s="161"/>
      <c r="M279" s="125"/>
      <c r="N279" s="125"/>
      <c r="O279" s="125"/>
    </row>
    <row r="280" spans="1:15" ht="9.9499999999999993" customHeight="1">
      <c r="A280" s="237"/>
      <c r="B280" s="237"/>
      <c r="C280" s="22">
        <v>271</v>
      </c>
      <c r="D280" s="125"/>
      <c r="E280" s="50" t="s">
        <v>376</v>
      </c>
      <c r="F280" s="161"/>
      <c r="G280" s="139" t="s">
        <v>654</v>
      </c>
      <c r="H280" s="161"/>
      <c r="I280" s="140" t="s">
        <v>655</v>
      </c>
      <c r="J280" s="140" t="s">
        <v>1208</v>
      </c>
      <c r="K280" s="140">
        <v>8</v>
      </c>
      <c r="L280" s="161"/>
      <c r="M280" s="125"/>
      <c r="N280" s="125"/>
      <c r="O280" s="125"/>
    </row>
    <row r="281" spans="1:15" ht="9.9499999999999993" customHeight="1">
      <c r="A281" s="237"/>
      <c r="B281" s="237"/>
      <c r="C281" s="22">
        <v>272</v>
      </c>
      <c r="D281" s="125"/>
      <c r="E281" s="75" t="s">
        <v>1130</v>
      </c>
      <c r="F281" s="161"/>
      <c r="G281" s="131" t="s">
        <v>377</v>
      </c>
      <c r="H281" s="161"/>
      <c r="I281" s="132" t="s">
        <v>790</v>
      </c>
      <c r="J281" s="137" t="s">
        <v>1208</v>
      </c>
      <c r="K281" s="138">
        <v>3</v>
      </c>
      <c r="L281" s="161"/>
      <c r="M281" s="125"/>
      <c r="N281" s="125"/>
      <c r="O281" s="125"/>
    </row>
    <row r="282" spans="1:15" ht="9.9499999999999993" customHeight="1">
      <c r="A282" s="237"/>
      <c r="B282" s="237"/>
      <c r="C282" s="22">
        <v>273</v>
      </c>
      <c r="D282" s="125"/>
      <c r="E282" s="99" t="s">
        <v>1146</v>
      </c>
      <c r="F282" s="161"/>
      <c r="G282" s="141" t="s">
        <v>197</v>
      </c>
      <c r="H282" s="161"/>
      <c r="I282" s="142" t="s">
        <v>198</v>
      </c>
      <c r="J282" s="153" t="s">
        <v>1208</v>
      </c>
      <c r="K282" s="143">
        <v>7</v>
      </c>
      <c r="L282" s="161"/>
      <c r="M282" s="125"/>
      <c r="N282" s="125"/>
      <c r="O282" s="125"/>
    </row>
    <row r="283" spans="1:15" ht="9.9499999999999993" customHeight="1">
      <c r="A283" s="237"/>
      <c r="B283" s="237"/>
      <c r="C283" s="22">
        <v>274</v>
      </c>
      <c r="D283" s="125"/>
      <c r="E283" s="50" t="s">
        <v>48</v>
      </c>
      <c r="F283" s="161"/>
      <c r="G283" s="139" t="s">
        <v>378</v>
      </c>
      <c r="H283" s="161"/>
      <c r="I283" s="140" t="s">
        <v>802</v>
      </c>
      <c r="J283" s="140" t="s">
        <v>1208</v>
      </c>
      <c r="K283" s="140">
        <v>3</v>
      </c>
      <c r="L283" s="161"/>
      <c r="M283" s="125"/>
      <c r="N283" s="125"/>
      <c r="O283" s="125"/>
    </row>
    <row r="284" spans="1:15" ht="9.9499999999999993" customHeight="1">
      <c r="A284" s="237"/>
      <c r="B284" s="237"/>
      <c r="C284" s="22">
        <v>275</v>
      </c>
      <c r="D284" s="125"/>
      <c r="E284" s="50" t="s">
        <v>1149</v>
      </c>
      <c r="F284" s="161"/>
      <c r="G284" s="139" t="s">
        <v>379</v>
      </c>
      <c r="H284" s="161"/>
      <c r="I284" s="140" t="s">
        <v>812</v>
      </c>
      <c r="J284" s="140" t="s">
        <v>1208</v>
      </c>
      <c r="K284" s="140">
        <v>6</v>
      </c>
      <c r="L284" s="161"/>
      <c r="M284" s="125"/>
      <c r="N284" s="125"/>
      <c r="O284" s="125"/>
    </row>
    <row r="285" spans="1:15" ht="9.9499999999999993" customHeight="1">
      <c r="A285" s="237"/>
      <c r="B285" s="237"/>
      <c r="C285" s="22">
        <v>276</v>
      </c>
      <c r="D285" s="125"/>
      <c r="E285" s="45" t="s">
        <v>24</v>
      </c>
      <c r="F285" s="161"/>
      <c r="G285" s="136" t="s">
        <v>380</v>
      </c>
      <c r="H285" s="161"/>
      <c r="I285" s="132" t="s">
        <v>761</v>
      </c>
      <c r="J285" s="137" t="s">
        <v>1208</v>
      </c>
      <c r="K285" s="138">
        <v>6</v>
      </c>
      <c r="L285" s="161"/>
      <c r="M285" s="125"/>
      <c r="N285" s="125"/>
      <c r="O285" s="125"/>
    </row>
    <row r="286" spans="1:15" ht="9.9499999999999993" customHeight="1">
      <c r="A286" s="237"/>
      <c r="B286" s="237"/>
      <c r="C286" s="22">
        <v>277</v>
      </c>
      <c r="D286" s="125"/>
      <c r="E286" s="45" t="s">
        <v>381</v>
      </c>
      <c r="F286" s="161"/>
      <c r="G286" s="163" t="s">
        <v>382</v>
      </c>
      <c r="H286" s="161"/>
      <c r="I286" s="132" t="s">
        <v>1101</v>
      </c>
      <c r="J286" s="137" t="s">
        <v>875</v>
      </c>
      <c r="K286" s="138">
        <v>6</v>
      </c>
      <c r="L286" s="161"/>
      <c r="M286" s="125"/>
      <c r="N286" s="125"/>
      <c r="O286" s="125"/>
    </row>
    <row r="287" spans="1:15" ht="9.9499999999999993" customHeight="1">
      <c r="A287" s="237"/>
      <c r="B287" s="237"/>
      <c r="C287" s="22">
        <v>278</v>
      </c>
      <c r="D287" s="125"/>
      <c r="E287" s="70" t="s">
        <v>148</v>
      </c>
      <c r="F287" s="161"/>
      <c r="G287" s="139" t="s">
        <v>148</v>
      </c>
      <c r="H287" s="161"/>
      <c r="I287" s="140" t="s">
        <v>150</v>
      </c>
      <c r="J287" s="140" t="s">
        <v>930</v>
      </c>
      <c r="K287" s="143">
        <v>27</v>
      </c>
      <c r="L287" s="161"/>
      <c r="M287" s="125"/>
      <c r="N287" s="125"/>
      <c r="O287" s="125"/>
    </row>
    <row r="288" spans="1:15" ht="9.9499999999999993" customHeight="1">
      <c r="A288" s="237"/>
      <c r="B288" s="237"/>
      <c r="C288" s="22">
        <v>279</v>
      </c>
      <c r="D288" s="125"/>
      <c r="E288" s="50" t="s">
        <v>917</v>
      </c>
      <c r="F288" s="161"/>
      <c r="G288" s="139" t="s">
        <v>384</v>
      </c>
      <c r="H288" s="161"/>
      <c r="I288" s="140" t="s">
        <v>741</v>
      </c>
      <c r="J288" s="140" t="s">
        <v>918</v>
      </c>
      <c r="K288" s="140">
        <v>72</v>
      </c>
      <c r="L288" s="161"/>
      <c r="M288" s="125"/>
      <c r="N288" s="125"/>
      <c r="O288" s="125"/>
    </row>
    <row r="289" spans="1:15" ht="9.9499999999999993" customHeight="1">
      <c r="A289" s="237"/>
      <c r="B289" s="237"/>
      <c r="C289" s="22">
        <v>280</v>
      </c>
      <c r="D289" s="125"/>
      <c r="E289" s="50" t="s">
        <v>1116</v>
      </c>
      <c r="F289" s="161"/>
      <c r="G289" s="139" t="s">
        <v>19</v>
      </c>
      <c r="H289" s="161"/>
      <c r="I289" s="140" t="s">
        <v>1045</v>
      </c>
      <c r="J289" s="140" t="s">
        <v>941</v>
      </c>
      <c r="K289" s="140">
        <v>82</v>
      </c>
      <c r="L289" s="161"/>
      <c r="M289" s="125"/>
      <c r="N289" s="125"/>
      <c r="O289" s="125"/>
    </row>
    <row r="290" spans="1:15" ht="9.9499999999999993" customHeight="1">
      <c r="A290" s="237"/>
      <c r="B290" s="237"/>
      <c r="C290" s="22">
        <v>281</v>
      </c>
      <c r="D290" s="125"/>
      <c r="E290" s="70" t="s">
        <v>1116</v>
      </c>
      <c r="F290" s="161"/>
      <c r="G290" s="139" t="s">
        <v>20</v>
      </c>
      <c r="H290" s="161"/>
      <c r="I290" s="199" t="s">
        <v>21</v>
      </c>
      <c r="J290" s="200" t="s">
        <v>941</v>
      </c>
      <c r="K290" s="143">
        <v>137.6</v>
      </c>
      <c r="L290" s="161"/>
      <c r="M290" s="125"/>
      <c r="N290" s="125"/>
      <c r="O290" s="125"/>
    </row>
    <row r="291" spans="1:15" ht="9.9499999999999993" customHeight="1">
      <c r="A291" s="237"/>
      <c r="B291" s="237"/>
      <c r="C291" s="22">
        <v>282</v>
      </c>
      <c r="D291" s="125"/>
      <c r="E291" s="50" t="s">
        <v>1116</v>
      </c>
      <c r="F291" s="161"/>
      <c r="G291" s="139" t="s">
        <v>385</v>
      </c>
      <c r="H291" s="161"/>
      <c r="I291" s="199" t="s">
        <v>1044</v>
      </c>
      <c r="J291" s="200" t="s">
        <v>941</v>
      </c>
      <c r="K291" s="140">
        <v>144</v>
      </c>
      <c r="L291" s="161"/>
      <c r="M291" s="125"/>
      <c r="N291" s="125"/>
      <c r="O291" s="125"/>
    </row>
    <row r="292" spans="1:15" ht="9.9499999999999993" customHeight="1">
      <c r="A292" s="237"/>
      <c r="B292" s="237"/>
      <c r="C292" s="22">
        <v>283</v>
      </c>
      <c r="D292" s="125"/>
      <c r="E292" s="50" t="s">
        <v>1116</v>
      </c>
      <c r="F292" s="161"/>
      <c r="G292" s="139" t="s">
        <v>69</v>
      </c>
      <c r="H292" s="161"/>
      <c r="I292" s="199" t="s">
        <v>871</v>
      </c>
      <c r="J292" s="200" t="s">
        <v>941</v>
      </c>
      <c r="K292" s="140">
        <v>15</v>
      </c>
      <c r="L292" s="161"/>
      <c r="M292" s="125"/>
      <c r="N292" s="125"/>
      <c r="O292" s="125"/>
    </row>
    <row r="293" spans="1:15" ht="9.9499999999999993" customHeight="1">
      <c r="A293" s="237"/>
      <c r="B293" s="237"/>
      <c r="C293" s="22">
        <v>284</v>
      </c>
      <c r="D293" s="125"/>
      <c r="E293" s="33" t="s">
        <v>1116</v>
      </c>
      <c r="F293" s="161"/>
      <c r="G293" s="133" t="s">
        <v>1132</v>
      </c>
      <c r="H293" s="161"/>
      <c r="I293" s="138" t="s">
        <v>1103</v>
      </c>
      <c r="J293" s="137" t="s">
        <v>941</v>
      </c>
      <c r="K293" s="129">
        <v>1.2</v>
      </c>
      <c r="L293" s="161"/>
      <c r="M293" s="125"/>
      <c r="N293" s="125"/>
      <c r="O293" s="125"/>
    </row>
    <row r="294" spans="1:15" ht="9.9499999999999993" customHeight="1">
      <c r="A294" s="237"/>
      <c r="B294" s="237"/>
      <c r="C294" s="22">
        <v>285</v>
      </c>
      <c r="D294" s="125"/>
      <c r="E294" s="70" t="s">
        <v>1116</v>
      </c>
      <c r="F294" s="161"/>
      <c r="G294" s="139" t="s">
        <v>1117</v>
      </c>
      <c r="H294" s="161"/>
      <c r="I294" s="199" t="s">
        <v>1238</v>
      </c>
      <c r="J294" s="200" t="s">
        <v>941</v>
      </c>
      <c r="K294" s="143">
        <v>5.8</v>
      </c>
      <c r="L294" s="161"/>
      <c r="M294" s="125"/>
      <c r="N294" s="125"/>
      <c r="O294" s="125"/>
    </row>
    <row r="295" spans="1:15" ht="9.9499999999999993" customHeight="1">
      <c r="A295" s="237"/>
      <c r="B295" s="237"/>
      <c r="C295" s="22">
        <v>286</v>
      </c>
      <c r="D295" s="125"/>
      <c r="E295" s="50" t="s">
        <v>1116</v>
      </c>
      <c r="F295" s="161"/>
      <c r="G295" s="139" t="s">
        <v>1148</v>
      </c>
      <c r="H295" s="161"/>
      <c r="I295" s="199" t="s">
        <v>1239</v>
      </c>
      <c r="J295" s="200" t="s">
        <v>941</v>
      </c>
      <c r="K295" s="140">
        <v>8</v>
      </c>
      <c r="L295" s="161"/>
      <c r="M295" s="125"/>
      <c r="N295" s="125"/>
      <c r="O295" s="125"/>
    </row>
    <row r="296" spans="1:15" ht="9.9499999999999993" customHeight="1">
      <c r="A296" s="237"/>
      <c r="B296" s="237"/>
      <c r="C296" s="22">
        <v>287</v>
      </c>
      <c r="D296" s="125"/>
      <c r="E296" s="50" t="s">
        <v>1116</v>
      </c>
      <c r="F296" s="161"/>
      <c r="G296" s="139" t="s">
        <v>1131</v>
      </c>
      <c r="H296" s="161"/>
      <c r="I296" s="199" t="s">
        <v>1104</v>
      </c>
      <c r="J296" s="200" t="s">
        <v>941</v>
      </c>
      <c r="K296" s="140">
        <v>51.5</v>
      </c>
      <c r="L296" s="161"/>
      <c r="M296" s="125"/>
      <c r="N296" s="125"/>
      <c r="O296" s="125"/>
    </row>
    <row r="297" spans="1:15" ht="9.9499999999999993" customHeight="1">
      <c r="A297" s="237"/>
      <c r="B297" s="237"/>
      <c r="C297" s="22">
        <v>288</v>
      </c>
      <c r="D297" s="125"/>
      <c r="E297" s="70" t="s">
        <v>232</v>
      </c>
      <c r="F297" s="161"/>
      <c r="G297" s="139" t="s">
        <v>233</v>
      </c>
      <c r="H297" s="161"/>
      <c r="I297" s="199" t="s">
        <v>234</v>
      </c>
      <c r="J297" s="200" t="s">
        <v>235</v>
      </c>
      <c r="K297" s="143">
        <v>30</v>
      </c>
      <c r="L297" s="161"/>
      <c r="M297" s="125"/>
      <c r="N297" s="125"/>
      <c r="O297" s="125"/>
    </row>
    <row r="298" spans="1:15" ht="9.9499999999999993" customHeight="1">
      <c r="A298" s="237"/>
      <c r="B298" s="237"/>
      <c r="C298" s="22">
        <v>289</v>
      </c>
      <c r="D298" s="125"/>
      <c r="E298" s="50" t="s">
        <v>1116</v>
      </c>
      <c r="F298" s="161"/>
      <c r="G298" s="139" t="s">
        <v>1210</v>
      </c>
      <c r="H298" s="161"/>
      <c r="I298" s="199" t="s">
        <v>1209</v>
      </c>
      <c r="J298" s="200" t="s">
        <v>941</v>
      </c>
      <c r="K298" s="140">
        <v>0</v>
      </c>
      <c r="L298" s="161"/>
      <c r="M298" s="125"/>
      <c r="N298" s="125"/>
      <c r="O298" s="125"/>
    </row>
    <row r="299" spans="1:15" ht="9.9499999999999993" customHeight="1">
      <c r="A299" s="237"/>
      <c r="B299" s="237"/>
      <c r="C299" s="22">
        <v>290</v>
      </c>
      <c r="D299" s="125"/>
      <c r="E299" s="50" t="s">
        <v>1116</v>
      </c>
      <c r="F299" s="161"/>
      <c r="G299" s="139" t="s">
        <v>386</v>
      </c>
      <c r="H299" s="161"/>
      <c r="I299" s="199" t="s">
        <v>808</v>
      </c>
      <c r="J299" s="200" t="s">
        <v>941</v>
      </c>
      <c r="K299" s="140">
        <v>15.6</v>
      </c>
      <c r="L299" s="161"/>
      <c r="M299" s="125"/>
      <c r="N299" s="125"/>
      <c r="O299" s="125"/>
    </row>
    <row r="300" spans="1:15" ht="9.9499999999999993" customHeight="1">
      <c r="A300" s="237"/>
      <c r="B300" s="237"/>
      <c r="C300" s="22">
        <v>291</v>
      </c>
      <c r="D300" s="125"/>
      <c r="E300" s="45" t="s">
        <v>609</v>
      </c>
      <c r="F300" s="161"/>
      <c r="G300" s="136" t="s">
        <v>610</v>
      </c>
      <c r="H300" s="161"/>
      <c r="I300" s="132" t="s">
        <v>611</v>
      </c>
      <c r="J300" s="137" t="s">
        <v>941</v>
      </c>
      <c r="K300" s="138">
        <v>5.4</v>
      </c>
      <c r="L300" s="161"/>
      <c r="M300" s="125"/>
      <c r="N300" s="125"/>
      <c r="O300" s="125"/>
    </row>
    <row r="301" spans="1:15" ht="9.9499999999999993" customHeight="1">
      <c r="A301" s="237"/>
      <c r="B301" s="237"/>
      <c r="C301" s="22">
        <v>292</v>
      </c>
      <c r="D301" s="125"/>
      <c r="E301" s="99" t="s">
        <v>387</v>
      </c>
      <c r="F301" s="161"/>
      <c r="G301" s="141" t="s">
        <v>388</v>
      </c>
      <c r="H301" s="161"/>
      <c r="I301" s="142" t="s">
        <v>389</v>
      </c>
      <c r="J301" s="153" t="s">
        <v>137</v>
      </c>
      <c r="K301" s="143">
        <v>6</v>
      </c>
      <c r="L301" s="161"/>
      <c r="M301" s="125"/>
      <c r="N301" s="125"/>
      <c r="O301" s="125"/>
    </row>
    <row r="302" spans="1:15" ht="9.9499999999999993" customHeight="1">
      <c r="A302" s="237"/>
      <c r="B302" s="237"/>
      <c r="C302" s="22">
        <v>293</v>
      </c>
      <c r="D302" s="125"/>
      <c r="E302" s="50" t="s">
        <v>390</v>
      </c>
      <c r="F302" s="161"/>
      <c r="G302" s="139" t="s">
        <v>391</v>
      </c>
      <c r="H302" s="161"/>
      <c r="I302" s="140" t="s">
        <v>392</v>
      </c>
      <c r="J302" s="140" t="s">
        <v>137</v>
      </c>
      <c r="K302" s="140">
        <v>6</v>
      </c>
      <c r="L302" s="161"/>
      <c r="M302" s="125"/>
      <c r="N302" s="125"/>
      <c r="O302" s="125"/>
    </row>
    <row r="303" spans="1:15" ht="9.9499999999999993" customHeight="1">
      <c r="A303" s="237"/>
      <c r="B303" s="237"/>
      <c r="C303" s="22">
        <v>294</v>
      </c>
      <c r="D303" s="125"/>
      <c r="E303" s="45" t="s">
        <v>1182</v>
      </c>
      <c r="F303" s="161"/>
      <c r="G303" s="136" t="s">
        <v>705</v>
      </c>
      <c r="H303" s="161"/>
      <c r="I303" s="132" t="s">
        <v>706</v>
      </c>
      <c r="J303" s="137" t="s">
        <v>1183</v>
      </c>
      <c r="K303" s="138">
        <v>28</v>
      </c>
      <c r="L303" s="161"/>
      <c r="M303" s="125"/>
      <c r="N303" s="125"/>
      <c r="O303" s="125"/>
    </row>
    <row r="304" spans="1:15" ht="9.9499999999999993" customHeight="1">
      <c r="A304" s="237"/>
      <c r="B304" s="237"/>
      <c r="C304" s="22">
        <v>295</v>
      </c>
      <c r="D304" s="125"/>
      <c r="E304" s="86" t="s">
        <v>1182</v>
      </c>
      <c r="F304" s="161"/>
      <c r="G304" s="201" t="s">
        <v>396</v>
      </c>
      <c r="H304" s="161"/>
      <c r="I304" s="171" t="s">
        <v>1145</v>
      </c>
      <c r="J304" s="129" t="s">
        <v>1183</v>
      </c>
      <c r="K304" s="171">
        <v>0</v>
      </c>
      <c r="L304" s="161"/>
      <c r="M304" s="125"/>
      <c r="N304" s="125"/>
      <c r="O304" s="125"/>
    </row>
    <row r="305" spans="1:15" ht="9.9499999999999993" customHeight="1">
      <c r="A305" s="237"/>
      <c r="B305" s="237"/>
      <c r="C305" s="22">
        <v>296</v>
      </c>
      <c r="D305" s="125"/>
      <c r="E305" s="75" t="s">
        <v>1182</v>
      </c>
      <c r="F305" s="161"/>
      <c r="G305" s="192" t="s">
        <v>964</v>
      </c>
      <c r="H305" s="161"/>
      <c r="I305" s="202" t="s">
        <v>965</v>
      </c>
      <c r="J305" s="153" t="s">
        <v>1183</v>
      </c>
      <c r="K305" s="138">
        <v>398</v>
      </c>
      <c r="L305" s="161"/>
      <c r="M305" s="125"/>
      <c r="N305" s="125"/>
      <c r="O305" s="125"/>
    </row>
    <row r="306" spans="1:15" ht="9.9499999999999993" customHeight="1">
      <c r="A306" s="237"/>
      <c r="B306" s="237"/>
      <c r="C306" s="22">
        <v>297</v>
      </c>
      <c r="D306" s="125"/>
      <c r="E306" s="33" t="s">
        <v>830</v>
      </c>
      <c r="F306" s="161"/>
      <c r="G306" s="133" t="s">
        <v>831</v>
      </c>
      <c r="H306" s="161"/>
      <c r="I306" s="138" t="s">
        <v>832</v>
      </c>
      <c r="J306" s="129" t="s">
        <v>930</v>
      </c>
      <c r="K306" s="129">
        <v>0</v>
      </c>
      <c r="L306" s="161"/>
      <c r="M306" s="125"/>
      <c r="N306" s="125"/>
      <c r="O306" s="125"/>
    </row>
    <row r="307" spans="1:15" ht="9.9499999999999993" customHeight="1">
      <c r="A307" s="237"/>
      <c r="B307" s="237"/>
      <c r="C307" s="22">
        <v>298</v>
      </c>
      <c r="D307" s="125"/>
      <c r="E307" s="75" t="s">
        <v>1182</v>
      </c>
      <c r="F307" s="161"/>
      <c r="G307" s="131" t="s">
        <v>587</v>
      </c>
      <c r="H307" s="161"/>
      <c r="I307" s="132" t="s">
        <v>588</v>
      </c>
      <c r="J307" s="137" t="s">
        <v>1183</v>
      </c>
      <c r="K307" s="138">
        <v>8</v>
      </c>
      <c r="L307" s="161"/>
      <c r="M307" s="125"/>
      <c r="N307" s="125"/>
      <c r="O307" s="125"/>
    </row>
    <row r="308" spans="1:15" ht="9.9499999999999993" customHeight="1">
      <c r="A308" s="237"/>
      <c r="B308" s="237"/>
      <c r="C308" s="22">
        <v>299</v>
      </c>
      <c r="D308" s="125"/>
      <c r="E308" s="33" t="s">
        <v>839</v>
      </c>
      <c r="F308" s="161"/>
      <c r="G308" s="133" t="s">
        <v>725</v>
      </c>
      <c r="H308" s="161"/>
      <c r="I308" s="138" t="s">
        <v>726</v>
      </c>
      <c r="J308" s="129" t="s">
        <v>840</v>
      </c>
      <c r="K308" s="129">
        <v>35</v>
      </c>
      <c r="L308" s="161"/>
      <c r="M308" s="125"/>
      <c r="N308" s="125"/>
      <c r="O308" s="125"/>
    </row>
    <row r="309" spans="1:15" ht="9.9499999999999993" customHeight="1">
      <c r="A309" s="237"/>
      <c r="B309" s="237"/>
      <c r="C309" s="22">
        <v>300</v>
      </c>
      <c r="D309" s="125"/>
      <c r="E309" s="75" t="s">
        <v>839</v>
      </c>
      <c r="F309" s="161"/>
      <c r="G309" s="131" t="s">
        <v>727</v>
      </c>
      <c r="H309" s="161"/>
      <c r="I309" s="132" t="s">
        <v>728</v>
      </c>
      <c r="J309" s="137" t="s">
        <v>840</v>
      </c>
      <c r="K309" s="138">
        <v>41</v>
      </c>
      <c r="L309" s="161"/>
      <c r="M309" s="125"/>
      <c r="N309" s="125"/>
      <c r="O309" s="125"/>
    </row>
    <row r="310" spans="1:15" ht="9.9499999999999993" customHeight="1">
      <c r="A310" s="237"/>
      <c r="B310" s="237"/>
      <c r="C310" s="22">
        <v>301</v>
      </c>
      <c r="D310" s="125"/>
      <c r="E310" s="33" t="s">
        <v>168</v>
      </c>
      <c r="F310" s="161"/>
      <c r="G310" s="133" t="s">
        <v>169</v>
      </c>
      <c r="H310" s="161"/>
      <c r="I310" s="138" t="s">
        <v>170</v>
      </c>
      <c r="J310" s="129" t="s">
        <v>171</v>
      </c>
      <c r="K310" s="129">
        <v>2</v>
      </c>
      <c r="L310" s="161"/>
      <c r="M310" s="125"/>
      <c r="N310" s="125"/>
      <c r="O310" s="125"/>
    </row>
    <row r="311" spans="1:15" ht="9.9499999999999993" customHeight="1">
      <c r="A311" s="237"/>
      <c r="B311" s="237"/>
      <c r="C311" s="22">
        <v>302</v>
      </c>
      <c r="D311" s="125"/>
      <c r="E311" s="33" t="s">
        <v>1136</v>
      </c>
      <c r="F311" s="161"/>
      <c r="G311" s="133" t="s">
        <v>397</v>
      </c>
      <c r="H311" s="161"/>
      <c r="I311" s="138" t="s">
        <v>398</v>
      </c>
      <c r="J311" s="129" t="s">
        <v>1105</v>
      </c>
      <c r="K311" s="129">
        <v>4</v>
      </c>
      <c r="L311" s="161"/>
      <c r="M311" s="125"/>
      <c r="N311" s="125"/>
      <c r="O311" s="125"/>
    </row>
    <row r="312" spans="1:15" ht="9.9499999999999993" customHeight="1">
      <c r="A312" s="237"/>
      <c r="B312" s="237"/>
      <c r="C312" s="22">
        <v>303</v>
      </c>
      <c r="D312" s="125"/>
      <c r="E312" s="33" t="s">
        <v>1136</v>
      </c>
      <c r="F312" s="161"/>
      <c r="G312" s="133" t="s">
        <v>399</v>
      </c>
      <c r="H312" s="161"/>
      <c r="I312" s="138" t="s">
        <v>669</v>
      </c>
      <c r="J312" s="129" t="s">
        <v>700</v>
      </c>
      <c r="K312" s="129">
        <v>4</v>
      </c>
      <c r="L312" s="161"/>
      <c r="M312" s="125"/>
      <c r="N312" s="125"/>
      <c r="O312" s="125"/>
    </row>
    <row r="313" spans="1:15" ht="9.9499999999999993" customHeight="1">
      <c r="A313" s="237"/>
      <c r="B313" s="237"/>
      <c r="C313" s="22">
        <v>304</v>
      </c>
      <c r="D313" s="125"/>
      <c r="E313" s="33" t="s">
        <v>1136</v>
      </c>
      <c r="F313" s="161"/>
      <c r="G313" s="133" t="s">
        <v>677</v>
      </c>
      <c r="H313" s="161"/>
      <c r="I313" s="138" t="s">
        <v>678</v>
      </c>
      <c r="J313" s="129" t="s">
        <v>700</v>
      </c>
      <c r="K313" s="129">
        <v>3</v>
      </c>
      <c r="L313" s="161"/>
      <c r="M313" s="125"/>
      <c r="N313" s="125"/>
      <c r="O313" s="125"/>
    </row>
    <row r="314" spans="1:15" ht="9.9499999999999993" customHeight="1">
      <c r="A314" s="237"/>
      <c r="B314" s="237"/>
      <c r="C314" s="22">
        <v>305</v>
      </c>
      <c r="D314" s="125"/>
      <c r="E314" s="45" t="s">
        <v>1136</v>
      </c>
      <c r="F314" s="161"/>
      <c r="G314" s="133" t="s">
        <v>400</v>
      </c>
      <c r="H314" s="161"/>
      <c r="I314" s="132" t="s">
        <v>829</v>
      </c>
      <c r="J314" s="137" t="s">
        <v>700</v>
      </c>
      <c r="K314" s="138">
        <v>3</v>
      </c>
      <c r="L314" s="161"/>
      <c r="M314" s="125"/>
      <c r="N314" s="125"/>
      <c r="O314" s="125"/>
    </row>
    <row r="315" spans="1:15" ht="9.9499999999999993" customHeight="1">
      <c r="A315" s="237"/>
      <c r="B315" s="237"/>
      <c r="C315" s="22">
        <v>306</v>
      </c>
      <c r="D315" s="125"/>
      <c r="E315" s="45" t="s">
        <v>1136</v>
      </c>
      <c r="F315" s="161"/>
      <c r="G315" s="133" t="s">
        <v>401</v>
      </c>
      <c r="H315" s="161"/>
      <c r="I315" s="132" t="s">
        <v>402</v>
      </c>
      <c r="J315" s="137" t="s">
        <v>700</v>
      </c>
      <c r="K315" s="138">
        <v>2</v>
      </c>
      <c r="L315" s="161"/>
      <c r="M315" s="125"/>
      <c r="N315" s="125"/>
      <c r="O315" s="125"/>
    </row>
    <row r="316" spans="1:15" ht="9.9499999999999993" customHeight="1">
      <c r="A316" s="237"/>
      <c r="B316" s="237"/>
      <c r="C316" s="22">
        <v>307</v>
      </c>
      <c r="D316" s="125"/>
      <c r="E316" s="86" t="s">
        <v>403</v>
      </c>
      <c r="F316" s="161"/>
      <c r="G316" s="203" t="s">
        <v>404</v>
      </c>
      <c r="H316" s="161"/>
      <c r="I316" s="162" t="s">
        <v>405</v>
      </c>
      <c r="J316" s="137" t="s">
        <v>700</v>
      </c>
      <c r="K316" s="171">
        <v>1</v>
      </c>
      <c r="L316" s="161"/>
      <c r="M316" s="125"/>
      <c r="N316" s="125"/>
      <c r="O316" s="125"/>
    </row>
    <row r="317" spans="1:15" ht="9.9499999999999993" customHeight="1">
      <c r="A317" s="237"/>
      <c r="B317" s="237"/>
      <c r="C317" s="22">
        <v>308</v>
      </c>
      <c r="D317" s="125"/>
      <c r="E317" s="86" t="s">
        <v>403</v>
      </c>
      <c r="F317" s="161"/>
      <c r="G317" s="203" t="s">
        <v>406</v>
      </c>
      <c r="H317" s="161"/>
      <c r="I317" s="162" t="s">
        <v>407</v>
      </c>
      <c r="J317" s="137" t="s">
        <v>700</v>
      </c>
      <c r="K317" s="171">
        <v>2</v>
      </c>
      <c r="L317" s="161"/>
      <c r="M317" s="125"/>
      <c r="N317" s="125"/>
      <c r="O317" s="125"/>
    </row>
    <row r="318" spans="1:15" ht="9.9499999999999993" customHeight="1">
      <c r="A318" s="237"/>
      <c r="B318" s="237"/>
      <c r="C318" s="22">
        <v>309</v>
      </c>
      <c r="D318" s="125"/>
      <c r="E318" s="90" t="s">
        <v>1136</v>
      </c>
      <c r="F318" s="161"/>
      <c r="G318" s="204" t="s">
        <v>208</v>
      </c>
      <c r="H318" s="161"/>
      <c r="I318" s="205"/>
      <c r="J318" s="137" t="s">
        <v>700</v>
      </c>
      <c r="K318" s="138">
        <v>1</v>
      </c>
      <c r="L318" s="161"/>
      <c r="M318" s="125"/>
      <c r="N318" s="125"/>
      <c r="O318" s="125"/>
    </row>
    <row r="319" spans="1:15" ht="9.9499999999999993" customHeight="1">
      <c r="A319" s="237"/>
      <c r="B319" s="237"/>
      <c r="C319" s="22">
        <v>310</v>
      </c>
      <c r="D319" s="125"/>
      <c r="E319" s="90" t="s">
        <v>1136</v>
      </c>
      <c r="F319" s="161"/>
      <c r="G319" s="204" t="s">
        <v>228</v>
      </c>
      <c r="H319" s="161"/>
      <c r="I319" s="205"/>
      <c r="J319" s="137" t="s">
        <v>700</v>
      </c>
      <c r="K319" s="138">
        <v>1</v>
      </c>
      <c r="L319" s="161"/>
      <c r="M319" s="125"/>
      <c r="N319" s="125"/>
      <c r="O319" s="125"/>
    </row>
    <row r="320" spans="1:15" ht="9.9499999999999993" customHeight="1">
      <c r="A320" s="237"/>
      <c r="B320" s="237"/>
      <c r="C320" s="22">
        <v>311</v>
      </c>
      <c r="D320" s="125"/>
      <c r="E320" s="45" t="s">
        <v>697</v>
      </c>
      <c r="F320" s="161"/>
      <c r="G320" s="136" t="s">
        <v>408</v>
      </c>
      <c r="H320" s="161"/>
      <c r="I320" s="132" t="s">
        <v>586</v>
      </c>
      <c r="J320" s="137" t="s">
        <v>409</v>
      </c>
      <c r="K320" s="138">
        <v>24</v>
      </c>
      <c r="L320" s="161"/>
      <c r="M320" s="125"/>
      <c r="N320" s="125"/>
      <c r="O320" s="125"/>
    </row>
    <row r="321" spans="1:15" ht="9.9499999999999993" customHeight="1">
      <c r="A321" s="237"/>
      <c r="B321" s="237"/>
      <c r="C321" s="22">
        <v>312</v>
      </c>
      <c r="D321" s="125"/>
      <c r="E321" s="45" t="s">
        <v>697</v>
      </c>
      <c r="F321" s="161"/>
      <c r="G321" s="136" t="s">
        <v>698</v>
      </c>
      <c r="H321" s="161"/>
      <c r="I321" s="132" t="s">
        <v>699</v>
      </c>
      <c r="J321" s="137" t="s">
        <v>409</v>
      </c>
      <c r="K321" s="138">
        <v>48</v>
      </c>
      <c r="L321" s="161"/>
      <c r="M321" s="125"/>
      <c r="N321" s="125"/>
      <c r="O321" s="125"/>
    </row>
    <row r="322" spans="1:15" ht="9.9499999999999993" customHeight="1">
      <c r="A322" s="237"/>
      <c r="B322" s="237"/>
      <c r="C322" s="22">
        <v>313</v>
      </c>
      <c r="D322" s="125"/>
      <c r="E322" s="33" t="s">
        <v>1149</v>
      </c>
      <c r="F322" s="161"/>
      <c r="G322" s="133" t="s">
        <v>813</v>
      </c>
      <c r="H322" s="161"/>
      <c r="I322" s="138" t="s">
        <v>410</v>
      </c>
      <c r="J322" s="129" t="s">
        <v>1133</v>
      </c>
      <c r="K322" s="129">
        <v>6</v>
      </c>
      <c r="L322" s="161"/>
      <c r="M322" s="125"/>
      <c r="N322" s="125"/>
      <c r="O322" s="125"/>
    </row>
    <row r="323" spans="1:15" ht="9.9499999999999993" customHeight="1">
      <c r="A323" s="237"/>
      <c r="B323" s="237"/>
      <c r="C323" s="22">
        <v>314</v>
      </c>
      <c r="D323" s="125"/>
      <c r="E323" s="86" t="s">
        <v>1149</v>
      </c>
      <c r="F323" s="161"/>
      <c r="G323" s="203" t="s">
        <v>814</v>
      </c>
      <c r="H323" s="161"/>
      <c r="I323" s="162" t="s">
        <v>411</v>
      </c>
      <c r="J323" s="137" t="s">
        <v>1133</v>
      </c>
      <c r="K323" s="171">
        <v>6</v>
      </c>
      <c r="L323" s="161"/>
      <c r="M323" s="125"/>
      <c r="N323" s="125"/>
      <c r="O323" s="125"/>
    </row>
    <row r="324" spans="1:15" ht="9.9499999999999993" customHeight="1">
      <c r="A324" s="237"/>
      <c r="B324" s="237"/>
      <c r="C324" s="22">
        <v>315</v>
      </c>
      <c r="D324" s="125"/>
      <c r="E324" s="86" t="s">
        <v>412</v>
      </c>
      <c r="F324" s="161"/>
      <c r="G324" s="203" t="s">
        <v>413</v>
      </c>
      <c r="H324" s="161"/>
      <c r="I324" s="162" t="s">
        <v>578</v>
      </c>
      <c r="J324" s="137" t="s">
        <v>414</v>
      </c>
      <c r="K324" s="171">
        <v>8</v>
      </c>
      <c r="L324" s="161"/>
      <c r="M324" s="125"/>
      <c r="N324" s="125"/>
      <c r="O324" s="125"/>
    </row>
    <row r="325" spans="1:15" ht="9.9499999999999993" customHeight="1">
      <c r="A325" s="237"/>
      <c r="B325" s="237"/>
      <c r="C325" s="22">
        <v>316</v>
      </c>
      <c r="D325" s="125"/>
      <c r="E325" s="86" t="s">
        <v>412</v>
      </c>
      <c r="F325" s="161"/>
      <c r="G325" s="201" t="s">
        <v>415</v>
      </c>
      <c r="H325" s="161"/>
      <c r="I325" s="206" t="s">
        <v>579</v>
      </c>
      <c r="J325" s="137" t="s">
        <v>414</v>
      </c>
      <c r="K325" s="171">
        <v>8</v>
      </c>
      <c r="L325" s="161"/>
      <c r="M325" s="125"/>
      <c r="N325" s="125"/>
      <c r="O325" s="125"/>
    </row>
    <row r="326" spans="1:15" ht="9.9499999999999993" customHeight="1">
      <c r="A326" s="237"/>
      <c r="B326" s="237"/>
      <c r="C326" s="22">
        <v>317</v>
      </c>
      <c r="D326" s="125"/>
      <c r="E326" s="86" t="s">
        <v>416</v>
      </c>
      <c r="F326" s="161"/>
      <c r="G326" s="201" t="s">
        <v>417</v>
      </c>
      <c r="H326" s="161"/>
      <c r="I326" s="206" t="s">
        <v>580</v>
      </c>
      <c r="J326" s="137" t="s">
        <v>414</v>
      </c>
      <c r="K326" s="171">
        <v>2</v>
      </c>
      <c r="L326" s="161"/>
      <c r="M326" s="125"/>
      <c r="N326" s="125"/>
      <c r="O326" s="125"/>
    </row>
    <row r="327" spans="1:15" ht="9.9499999999999993" customHeight="1">
      <c r="A327" s="237"/>
      <c r="B327" s="237"/>
      <c r="C327" s="22">
        <v>318</v>
      </c>
      <c r="D327" s="125"/>
      <c r="E327" s="33" t="s">
        <v>418</v>
      </c>
      <c r="F327" s="161"/>
      <c r="G327" s="133" t="s">
        <v>419</v>
      </c>
      <c r="H327" s="161"/>
      <c r="I327" s="138" t="s">
        <v>420</v>
      </c>
      <c r="J327" s="153" t="s">
        <v>700</v>
      </c>
      <c r="K327" s="129">
        <v>4</v>
      </c>
      <c r="L327" s="161"/>
      <c r="M327" s="125"/>
      <c r="N327" s="125"/>
      <c r="O327" s="125"/>
    </row>
    <row r="328" spans="1:15" ht="9.9499999999999993" customHeight="1">
      <c r="A328" s="237"/>
      <c r="B328" s="237"/>
      <c r="C328" s="22">
        <v>319</v>
      </c>
      <c r="D328" s="125"/>
      <c r="E328" s="33" t="s">
        <v>1119</v>
      </c>
      <c r="F328" s="161"/>
      <c r="G328" s="133" t="s">
        <v>421</v>
      </c>
      <c r="H328" s="161"/>
      <c r="I328" s="138" t="s">
        <v>881</v>
      </c>
      <c r="J328" s="153" t="s">
        <v>1133</v>
      </c>
      <c r="K328" s="129">
        <v>138</v>
      </c>
      <c r="L328" s="161"/>
      <c r="M328" s="125"/>
      <c r="N328" s="125"/>
      <c r="O328" s="125"/>
    </row>
    <row r="329" spans="1:15" ht="9.9499999999999993" customHeight="1">
      <c r="A329" s="237"/>
      <c r="B329" s="237"/>
      <c r="C329" s="22">
        <v>320</v>
      </c>
      <c r="D329" s="125"/>
      <c r="E329" s="33" t="s">
        <v>1119</v>
      </c>
      <c r="F329" s="161"/>
      <c r="G329" s="133" t="s">
        <v>423</v>
      </c>
      <c r="H329" s="161"/>
      <c r="I329" s="138" t="s">
        <v>1194</v>
      </c>
      <c r="J329" s="153" t="s">
        <v>1133</v>
      </c>
      <c r="K329" s="129">
        <v>85</v>
      </c>
      <c r="L329" s="161"/>
      <c r="M329" s="125"/>
      <c r="N329" s="125"/>
      <c r="O329" s="125"/>
    </row>
    <row r="330" spans="1:15" ht="9.9499999999999993" customHeight="1">
      <c r="A330" s="237"/>
      <c r="B330" s="237"/>
      <c r="C330" s="22">
        <v>321</v>
      </c>
      <c r="D330" s="125"/>
      <c r="E330" s="33" t="s">
        <v>1119</v>
      </c>
      <c r="F330" s="161"/>
      <c r="G330" s="133" t="s">
        <v>425</v>
      </c>
      <c r="H330" s="161"/>
      <c r="I330" s="138" t="s">
        <v>1233</v>
      </c>
      <c r="J330" s="137" t="s">
        <v>1133</v>
      </c>
      <c r="K330" s="129">
        <v>42</v>
      </c>
      <c r="L330" s="161"/>
      <c r="M330" s="125"/>
      <c r="N330" s="125"/>
      <c r="O330" s="125"/>
    </row>
    <row r="331" spans="1:15" ht="9.9499999999999993" customHeight="1">
      <c r="A331" s="237"/>
      <c r="B331" s="237"/>
      <c r="C331" s="22">
        <v>322</v>
      </c>
      <c r="D331" s="125"/>
      <c r="E331" s="45" t="s">
        <v>1119</v>
      </c>
      <c r="F331" s="161"/>
      <c r="G331" s="136" t="s">
        <v>427</v>
      </c>
      <c r="H331" s="161"/>
      <c r="I331" s="132" t="s">
        <v>1224</v>
      </c>
      <c r="J331" s="137" t="s">
        <v>1133</v>
      </c>
      <c r="K331" s="138">
        <v>38</v>
      </c>
      <c r="L331" s="161"/>
      <c r="M331" s="125"/>
      <c r="N331" s="125"/>
      <c r="O331" s="125"/>
    </row>
    <row r="332" spans="1:15" ht="9.9499999999999993" customHeight="1">
      <c r="A332" s="237"/>
      <c r="B332" s="237"/>
      <c r="C332" s="22">
        <v>323</v>
      </c>
      <c r="D332" s="125"/>
      <c r="E332" s="75" t="s">
        <v>1119</v>
      </c>
      <c r="F332" s="161"/>
      <c r="G332" s="192" t="s">
        <v>429</v>
      </c>
      <c r="H332" s="161"/>
      <c r="I332" s="202" t="s">
        <v>1226</v>
      </c>
      <c r="J332" s="153" t="s">
        <v>1133</v>
      </c>
      <c r="K332" s="138">
        <v>6</v>
      </c>
      <c r="L332" s="161"/>
      <c r="M332" s="125"/>
      <c r="N332" s="125"/>
      <c r="O332" s="125"/>
    </row>
    <row r="333" spans="1:15" ht="9.9499999999999993" customHeight="1">
      <c r="A333" s="237"/>
      <c r="B333" s="237"/>
      <c r="C333" s="22">
        <v>324</v>
      </c>
      <c r="D333" s="125"/>
      <c r="E333" s="33" t="s">
        <v>1119</v>
      </c>
      <c r="F333" s="161"/>
      <c r="G333" s="127" t="s">
        <v>431</v>
      </c>
      <c r="H333" s="161"/>
      <c r="I333" s="138" t="s">
        <v>1227</v>
      </c>
      <c r="J333" s="137" t="s">
        <v>1133</v>
      </c>
      <c r="K333" s="129">
        <v>9</v>
      </c>
      <c r="L333" s="161"/>
      <c r="M333" s="125"/>
      <c r="N333" s="125"/>
      <c r="O333" s="125"/>
    </row>
    <row r="334" spans="1:15" ht="9.9499999999999993" customHeight="1">
      <c r="A334" s="237"/>
      <c r="B334" s="237"/>
      <c r="C334" s="22">
        <v>325</v>
      </c>
      <c r="D334" s="125"/>
      <c r="E334" s="33" t="s">
        <v>1119</v>
      </c>
      <c r="F334" s="161"/>
      <c r="G334" s="133" t="s">
        <v>432</v>
      </c>
      <c r="H334" s="161"/>
      <c r="I334" s="138" t="s">
        <v>1195</v>
      </c>
      <c r="J334" s="137" t="s">
        <v>1133</v>
      </c>
      <c r="K334" s="129">
        <v>0</v>
      </c>
      <c r="L334" s="161"/>
      <c r="M334" s="125"/>
      <c r="N334" s="125"/>
      <c r="O334" s="125"/>
    </row>
    <row r="335" spans="1:15" ht="9.9499999999999993" customHeight="1">
      <c r="A335" s="237"/>
      <c r="B335" s="237"/>
      <c r="C335" s="22">
        <v>326</v>
      </c>
      <c r="D335" s="125"/>
      <c r="E335" s="45" t="s">
        <v>1119</v>
      </c>
      <c r="F335" s="161"/>
      <c r="G335" s="136" t="s">
        <v>433</v>
      </c>
      <c r="H335" s="161"/>
      <c r="I335" s="132" t="s">
        <v>1229</v>
      </c>
      <c r="J335" s="137" t="s">
        <v>1133</v>
      </c>
      <c r="K335" s="138">
        <v>40</v>
      </c>
      <c r="L335" s="161"/>
      <c r="M335" s="125"/>
      <c r="N335" s="125"/>
      <c r="O335" s="125"/>
    </row>
    <row r="336" spans="1:15" ht="9.9499999999999993" customHeight="1">
      <c r="A336" s="237"/>
      <c r="B336" s="237"/>
      <c r="C336" s="22">
        <v>327</v>
      </c>
      <c r="D336" s="125"/>
      <c r="E336" s="45" t="s">
        <v>1119</v>
      </c>
      <c r="F336" s="161"/>
      <c r="G336" s="136" t="s">
        <v>434</v>
      </c>
      <c r="H336" s="161"/>
      <c r="I336" s="132" t="s">
        <v>435</v>
      </c>
      <c r="J336" s="137" t="s">
        <v>1133</v>
      </c>
      <c r="K336" s="138">
        <v>0</v>
      </c>
      <c r="L336" s="161"/>
      <c r="M336" s="125"/>
      <c r="N336" s="125"/>
      <c r="O336" s="125"/>
    </row>
    <row r="337" spans="1:15" ht="9.9499999999999993" customHeight="1">
      <c r="A337" s="237"/>
      <c r="B337" s="237"/>
      <c r="C337" s="22">
        <v>328</v>
      </c>
      <c r="D337" s="125"/>
      <c r="E337" s="75" t="s">
        <v>1119</v>
      </c>
      <c r="F337" s="161"/>
      <c r="G337" s="192" t="s">
        <v>437</v>
      </c>
      <c r="H337" s="161"/>
      <c r="I337" s="138" t="s">
        <v>438</v>
      </c>
      <c r="J337" s="137" t="s">
        <v>1133</v>
      </c>
      <c r="K337" s="138">
        <v>4</v>
      </c>
      <c r="L337" s="161"/>
      <c r="M337" s="125"/>
      <c r="N337" s="125"/>
      <c r="O337" s="125"/>
    </row>
    <row r="338" spans="1:15" ht="9.9499999999999993" customHeight="1">
      <c r="A338" s="237"/>
      <c r="B338" s="237"/>
      <c r="C338" s="22">
        <v>329</v>
      </c>
      <c r="D338" s="125"/>
      <c r="E338" s="75" t="s">
        <v>1119</v>
      </c>
      <c r="F338" s="161"/>
      <c r="G338" s="192" t="s">
        <v>440</v>
      </c>
      <c r="H338" s="161"/>
      <c r="I338" s="138" t="s">
        <v>441</v>
      </c>
      <c r="J338" s="137" t="s">
        <v>1133</v>
      </c>
      <c r="K338" s="138">
        <v>4</v>
      </c>
      <c r="L338" s="161"/>
      <c r="M338" s="125"/>
      <c r="N338" s="125"/>
      <c r="O338" s="125"/>
    </row>
    <row r="339" spans="1:15" ht="9.9499999999999993" customHeight="1">
      <c r="A339" s="237"/>
      <c r="B339" s="237"/>
      <c r="C339" s="22">
        <v>330</v>
      </c>
      <c r="D339" s="125"/>
      <c r="E339" s="75" t="s">
        <v>1119</v>
      </c>
      <c r="F339" s="161"/>
      <c r="G339" s="192" t="s">
        <v>443</v>
      </c>
      <c r="H339" s="161"/>
      <c r="I339" s="138" t="s">
        <v>444</v>
      </c>
      <c r="J339" s="137" t="s">
        <v>1133</v>
      </c>
      <c r="K339" s="138">
        <v>4</v>
      </c>
      <c r="L339" s="161"/>
      <c r="M339" s="125"/>
      <c r="N339" s="125"/>
      <c r="O339" s="125"/>
    </row>
    <row r="340" spans="1:15" ht="9.9499999999999993" customHeight="1">
      <c r="A340" s="237"/>
      <c r="B340" s="237"/>
      <c r="C340" s="22">
        <v>331</v>
      </c>
      <c r="D340" s="125"/>
      <c r="E340" s="75" t="s">
        <v>1119</v>
      </c>
      <c r="F340" s="161"/>
      <c r="G340" s="192" t="s">
        <v>446</v>
      </c>
      <c r="H340" s="161"/>
      <c r="I340" s="138" t="s">
        <v>447</v>
      </c>
      <c r="J340" s="137" t="s">
        <v>1133</v>
      </c>
      <c r="K340" s="138">
        <v>4</v>
      </c>
      <c r="L340" s="161"/>
      <c r="M340" s="125"/>
      <c r="N340" s="125"/>
      <c r="O340" s="125"/>
    </row>
    <row r="341" spans="1:15" ht="9.9499999999999993" customHeight="1">
      <c r="A341" s="237"/>
      <c r="B341" s="237"/>
      <c r="C341" s="22">
        <v>332</v>
      </c>
      <c r="D341" s="125"/>
      <c r="E341" s="94" t="s">
        <v>1119</v>
      </c>
      <c r="F341" s="161"/>
      <c r="G341" s="207" t="s">
        <v>449</v>
      </c>
      <c r="H341" s="161"/>
      <c r="I341" s="171" t="s">
        <v>450</v>
      </c>
      <c r="J341" s="137" t="s">
        <v>1133</v>
      </c>
      <c r="K341" s="171">
        <v>4</v>
      </c>
      <c r="L341" s="161"/>
      <c r="M341" s="125"/>
      <c r="N341" s="125"/>
      <c r="O341" s="125"/>
    </row>
    <row r="342" spans="1:15" ht="9.9499999999999993" customHeight="1">
      <c r="A342" s="237"/>
      <c r="B342" s="237"/>
      <c r="C342" s="22">
        <v>333</v>
      </c>
      <c r="D342" s="125"/>
      <c r="E342" s="94" t="s">
        <v>1119</v>
      </c>
      <c r="F342" s="161"/>
      <c r="G342" s="207" t="s">
        <v>452</v>
      </c>
      <c r="H342" s="161"/>
      <c r="I342" s="171" t="s">
        <v>453</v>
      </c>
      <c r="J342" s="137" t="s">
        <v>1133</v>
      </c>
      <c r="K342" s="171">
        <v>4</v>
      </c>
      <c r="L342" s="161"/>
      <c r="M342" s="125"/>
      <c r="N342" s="125"/>
      <c r="O342" s="125"/>
    </row>
    <row r="343" spans="1:15" ht="9.9499999999999993" customHeight="1">
      <c r="A343" s="237"/>
      <c r="B343" s="237"/>
      <c r="C343" s="22">
        <v>334</v>
      </c>
      <c r="D343" s="125"/>
      <c r="E343" s="75" t="s">
        <v>1119</v>
      </c>
      <c r="F343" s="161"/>
      <c r="G343" s="192" t="s">
        <v>455</v>
      </c>
      <c r="H343" s="161"/>
      <c r="I343" s="138" t="s">
        <v>456</v>
      </c>
      <c r="J343" s="138" t="s">
        <v>1133</v>
      </c>
      <c r="K343" s="143">
        <v>9</v>
      </c>
      <c r="L343" s="161"/>
      <c r="M343" s="125"/>
      <c r="N343" s="125"/>
      <c r="O343" s="125"/>
    </row>
    <row r="344" spans="1:15" ht="9.9499999999999993" customHeight="1">
      <c r="A344" s="237"/>
      <c r="B344" s="237"/>
      <c r="C344" s="22">
        <v>335</v>
      </c>
      <c r="D344" s="125"/>
      <c r="E344" s="50" t="s">
        <v>1119</v>
      </c>
      <c r="F344" s="161"/>
      <c r="G344" s="198" t="s">
        <v>458</v>
      </c>
      <c r="H344" s="161"/>
      <c r="I344" s="140" t="s">
        <v>459</v>
      </c>
      <c r="J344" s="200" t="s">
        <v>1133</v>
      </c>
      <c r="K344" s="140">
        <v>0</v>
      </c>
      <c r="L344" s="161"/>
      <c r="M344" s="125"/>
      <c r="N344" s="125"/>
      <c r="O344" s="125"/>
    </row>
    <row r="345" spans="1:15" ht="9.9499999999999993" customHeight="1">
      <c r="A345" s="237"/>
      <c r="B345" s="237"/>
      <c r="C345" s="22">
        <v>336</v>
      </c>
      <c r="D345" s="125"/>
      <c r="E345" s="50" t="s">
        <v>1119</v>
      </c>
      <c r="F345" s="161"/>
      <c r="G345" s="198" t="s">
        <v>460</v>
      </c>
      <c r="H345" s="161"/>
      <c r="I345" s="140" t="s">
        <v>461</v>
      </c>
      <c r="J345" s="200" t="s">
        <v>1133</v>
      </c>
      <c r="K345" s="140">
        <v>6</v>
      </c>
      <c r="L345" s="161"/>
      <c r="M345" s="125"/>
      <c r="N345" s="125"/>
      <c r="O345" s="125"/>
    </row>
    <row r="346" spans="1:15" ht="9.9499999999999993" customHeight="1">
      <c r="A346" s="237"/>
      <c r="B346" s="237"/>
      <c r="C346" s="22">
        <v>337</v>
      </c>
      <c r="D346" s="125"/>
      <c r="E346" s="45" t="s">
        <v>1119</v>
      </c>
      <c r="F346" s="161"/>
      <c r="G346" s="136" t="s">
        <v>462</v>
      </c>
      <c r="H346" s="161"/>
      <c r="I346" s="132" t="s">
        <v>463</v>
      </c>
      <c r="J346" s="137" t="s">
        <v>1133</v>
      </c>
      <c r="K346" s="138">
        <v>4</v>
      </c>
      <c r="L346" s="161"/>
      <c r="M346" s="125"/>
      <c r="N346" s="125"/>
      <c r="O346" s="125"/>
    </row>
    <row r="347" spans="1:15" ht="9.9499999999999993" customHeight="1">
      <c r="A347" s="237"/>
      <c r="B347" s="237"/>
      <c r="C347" s="22">
        <v>338</v>
      </c>
      <c r="D347" s="125"/>
      <c r="E347" s="75" t="s">
        <v>1119</v>
      </c>
      <c r="F347" s="161"/>
      <c r="G347" s="192" t="s">
        <v>464</v>
      </c>
      <c r="H347" s="161"/>
      <c r="I347" s="138" t="s">
        <v>835</v>
      </c>
      <c r="J347" s="137" t="s">
        <v>1133</v>
      </c>
      <c r="K347" s="138">
        <v>4</v>
      </c>
      <c r="L347" s="161"/>
      <c r="M347" s="125"/>
      <c r="N347" s="125"/>
      <c r="O347" s="125"/>
    </row>
    <row r="348" spans="1:15" ht="9.9499999999999993" customHeight="1">
      <c r="A348" s="237"/>
      <c r="B348" s="237"/>
      <c r="C348" s="22">
        <v>339</v>
      </c>
      <c r="D348" s="125"/>
      <c r="E348" s="75" t="s">
        <v>1119</v>
      </c>
      <c r="F348" s="161"/>
      <c r="G348" s="192" t="s">
        <v>465</v>
      </c>
      <c r="H348" s="161"/>
      <c r="I348" s="138" t="s">
        <v>836</v>
      </c>
      <c r="J348" s="137" t="s">
        <v>1133</v>
      </c>
      <c r="K348" s="138">
        <v>4</v>
      </c>
      <c r="L348" s="161"/>
      <c r="M348" s="125"/>
      <c r="N348" s="125"/>
      <c r="O348" s="125"/>
    </row>
    <row r="349" spans="1:15" ht="9.9499999999999993" customHeight="1">
      <c r="A349" s="237"/>
      <c r="B349" s="237"/>
      <c r="C349" s="22">
        <v>340</v>
      </c>
      <c r="D349" s="125"/>
      <c r="E349" s="75" t="s">
        <v>1119</v>
      </c>
      <c r="F349" s="161"/>
      <c r="G349" s="192" t="s">
        <v>466</v>
      </c>
      <c r="H349" s="161"/>
      <c r="I349" s="138" t="s">
        <v>837</v>
      </c>
      <c r="J349" s="137" t="s">
        <v>1133</v>
      </c>
      <c r="K349" s="138">
        <v>4</v>
      </c>
      <c r="L349" s="161"/>
      <c r="M349" s="125"/>
      <c r="N349" s="125"/>
      <c r="O349" s="125"/>
    </row>
    <row r="350" spans="1:15" ht="9.9499999999999993" customHeight="1">
      <c r="A350" s="237"/>
      <c r="B350" s="237"/>
      <c r="C350" s="22">
        <v>341</v>
      </c>
      <c r="D350" s="125"/>
      <c r="E350" s="75" t="s">
        <v>692</v>
      </c>
      <c r="F350" s="161"/>
      <c r="G350" s="192" t="s">
        <v>467</v>
      </c>
      <c r="H350" s="161"/>
      <c r="I350" s="138" t="s">
        <v>693</v>
      </c>
      <c r="J350" s="137" t="s">
        <v>930</v>
      </c>
      <c r="K350" s="138">
        <v>7</v>
      </c>
      <c r="L350" s="161"/>
      <c r="M350" s="125"/>
      <c r="N350" s="125"/>
      <c r="O350" s="125"/>
    </row>
    <row r="351" spans="1:15" ht="9.9499999999999993" customHeight="1">
      <c r="A351" s="237"/>
      <c r="B351" s="237"/>
      <c r="C351" s="22">
        <v>342</v>
      </c>
      <c r="D351" s="125"/>
      <c r="E351" s="94" t="s">
        <v>692</v>
      </c>
      <c r="F351" s="161"/>
      <c r="G351" s="207" t="s">
        <v>425</v>
      </c>
      <c r="H351" s="161"/>
      <c r="I351" s="171" t="s">
        <v>694</v>
      </c>
      <c r="J351" s="137" t="s">
        <v>930</v>
      </c>
      <c r="K351" s="171">
        <v>19</v>
      </c>
      <c r="L351" s="161"/>
      <c r="M351" s="125"/>
      <c r="N351" s="125"/>
      <c r="O351" s="125"/>
    </row>
    <row r="352" spans="1:15" ht="9.9499999999999993" customHeight="1">
      <c r="A352" s="237"/>
      <c r="B352" s="237"/>
      <c r="C352" s="22">
        <v>343</v>
      </c>
      <c r="D352" s="125"/>
      <c r="E352" s="94" t="s">
        <v>692</v>
      </c>
      <c r="F352" s="161"/>
      <c r="G352" s="207" t="s">
        <v>695</v>
      </c>
      <c r="H352" s="161"/>
      <c r="I352" s="171" t="s">
        <v>696</v>
      </c>
      <c r="J352" s="137" t="s">
        <v>930</v>
      </c>
      <c r="K352" s="171">
        <v>8</v>
      </c>
      <c r="L352" s="161"/>
      <c r="M352" s="125"/>
      <c r="N352" s="125"/>
      <c r="O352" s="125"/>
    </row>
    <row r="353" spans="1:15" ht="9.9499999999999993" customHeight="1">
      <c r="A353" s="237"/>
      <c r="B353" s="237"/>
      <c r="C353" s="22">
        <v>344</v>
      </c>
      <c r="D353" s="125"/>
      <c r="E353" s="33" t="s">
        <v>692</v>
      </c>
      <c r="F353" s="161"/>
      <c r="G353" s="192" t="s">
        <v>468</v>
      </c>
      <c r="H353" s="161"/>
      <c r="I353" s="138" t="s">
        <v>585</v>
      </c>
      <c r="J353" s="138" t="s">
        <v>930</v>
      </c>
      <c r="K353" s="143">
        <v>4</v>
      </c>
      <c r="L353" s="161"/>
      <c r="M353" s="125"/>
      <c r="N353" s="125"/>
      <c r="O353" s="125"/>
    </row>
    <row r="354" spans="1:15" ht="9.9499999999999993" customHeight="1">
      <c r="A354" s="237"/>
      <c r="B354" s="237"/>
      <c r="C354" s="22">
        <v>345</v>
      </c>
      <c r="D354" s="125"/>
      <c r="E354" s="50" t="s">
        <v>692</v>
      </c>
      <c r="F354" s="161"/>
      <c r="G354" s="198" t="s">
        <v>138</v>
      </c>
      <c r="H354" s="161"/>
      <c r="I354" s="200" t="s">
        <v>133</v>
      </c>
      <c r="J354" s="200" t="s">
        <v>930</v>
      </c>
      <c r="K354" s="140">
        <v>0</v>
      </c>
      <c r="L354" s="161"/>
      <c r="M354" s="125"/>
      <c r="N354" s="125"/>
      <c r="O354" s="125"/>
    </row>
    <row r="355" spans="1:15" ht="9.9499999999999993" customHeight="1">
      <c r="A355" s="237"/>
      <c r="B355" s="237"/>
      <c r="C355" s="22">
        <v>346</v>
      </c>
      <c r="D355" s="125"/>
      <c r="E355" s="50" t="s">
        <v>1119</v>
      </c>
      <c r="F355" s="161"/>
      <c r="G355" s="198" t="s">
        <v>825</v>
      </c>
      <c r="H355" s="161"/>
      <c r="I355" s="200" t="s">
        <v>826</v>
      </c>
      <c r="J355" s="200" t="s">
        <v>930</v>
      </c>
      <c r="K355" s="140">
        <v>21</v>
      </c>
      <c r="L355" s="161"/>
      <c r="M355" s="125"/>
      <c r="N355" s="125"/>
      <c r="O355" s="125"/>
    </row>
    <row r="356" spans="1:15" ht="9.9499999999999993" customHeight="1">
      <c r="A356" s="237"/>
      <c r="B356" s="237"/>
      <c r="C356" s="22">
        <v>347</v>
      </c>
      <c r="D356" s="125"/>
      <c r="E356" s="33" t="s">
        <v>692</v>
      </c>
      <c r="F356" s="161"/>
      <c r="G356" s="163" t="s">
        <v>469</v>
      </c>
      <c r="H356" s="161"/>
      <c r="I356" s="129" t="s">
        <v>583</v>
      </c>
      <c r="J356" s="137" t="s">
        <v>930</v>
      </c>
      <c r="K356" s="171">
        <v>2</v>
      </c>
      <c r="L356" s="161"/>
      <c r="M356" s="125"/>
      <c r="N356" s="125"/>
      <c r="O356" s="125"/>
    </row>
    <row r="357" spans="1:15" ht="9.9499999999999993" customHeight="1">
      <c r="A357" s="237"/>
      <c r="B357" s="237"/>
      <c r="C357" s="22">
        <v>348</v>
      </c>
      <c r="D357" s="125"/>
      <c r="E357" s="33" t="s">
        <v>692</v>
      </c>
      <c r="F357" s="161"/>
      <c r="G357" s="163" t="s">
        <v>470</v>
      </c>
      <c r="H357" s="161"/>
      <c r="I357" s="129" t="s">
        <v>584</v>
      </c>
      <c r="J357" s="137" t="s">
        <v>930</v>
      </c>
      <c r="K357" s="171">
        <v>2</v>
      </c>
      <c r="L357" s="161"/>
      <c r="M357" s="125"/>
      <c r="N357" s="125"/>
      <c r="O357" s="125"/>
    </row>
    <row r="358" spans="1:15" ht="9.9499999999999993" customHeight="1">
      <c r="A358" s="237"/>
      <c r="B358" s="237"/>
      <c r="C358" s="22">
        <v>349</v>
      </c>
      <c r="D358" s="125"/>
      <c r="E358" s="33" t="s">
        <v>692</v>
      </c>
      <c r="F358" s="161"/>
      <c r="G358" s="163" t="s">
        <v>471</v>
      </c>
      <c r="H358" s="161"/>
      <c r="I358" s="138" t="s">
        <v>472</v>
      </c>
      <c r="J358" s="153" t="s">
        <v>930</v>
      </c>
      <c r="K358" s="171">
        <v>1</v>
      </c>
      <c r="L358" s="161"/>
      <c r="M358" s="125"/>
      <c r="N358" s="125"/>
      <c r="O358" s="125"/>
    </row>
    <row r="359" spans="1:15" ht="9.9499999999999993" customHeight="1">
      <c r="A359" s="237"/>
      <c r="B359" s="237"/>
      <c r="C359" s="22">
        <v>350</v>
      </c>
      <c r="D359" s="125"/>
      <c r="E359" s="33" t="s">
        <v>692</v>
      </c>
      <c r="F359" s="161"/>
      <c r="G359" s="163" t="s">
        <v>473</v>
      </c>
      <c r="H359" s="161"/>
      <c r="I359" s="138" t="s">
        <v>474</v>
      </c>
      <c r="J359" s="153" t="s">
        <v>930</v>
      </c>
      <c r="K359" s="171">
        <v>0</v>
      </c>
      <c r="L359" s="161"/>
      <c r="M359" s="125"/>
      <c r="N359" s="125"/>
      <c r="O359" s="125"/>
    </row>
    <row r="360" spans="1:15" ht="9.9499999999999993" customHeight="1">
      <c r="A360" s="237"/>
      <c r="B360" s="237"/>
      <c r="C360" s="22">
        <v>351</v>
      </c>
      <c r="D360" s="125"/>
      <c r="E360" s="75" t="s">
        <v>692</v>
      </c>
      <c r="F360" s="161"/>
      <c r="G360" s="136" t="s">
        <v>475</v>
      </c>
      <c r="H360" s="161"/>
      <c r="I360" s="208" t="s">
        <v>476</v>
      </c>
      <c r="J360" s="137" t="s">
        <v>930</v>
      </c>
      <c r="K360" s="138">
        <v>3</v>
      </c>
      <c r="L360" s="161"/>
      <c r="M360" s="125"/>
      <c r="N360" s="125"/>
      <c r="O360" s="125"/>
    </row>
    <row r="361" spans="1:15" ht="9.9499999999999993" customHeight="1">
      <c r="A361" s="237"/>
      <c r="B361" s="237"/>
      <c r="C361" s="22">
        <v>352</v>
      </c>
      <c r="D361" s="125"/>
      <c r="E361" s="75" t="s">
        <v>1119</v>
      </c>
      <c r="F361" s="161"/>
      <c r="G361" s="136" t="s">
        <v>144</v>
      </c>
      <c r="H361" s="161"/>
      <c r="I361" s="208" t="s">
        <v>827</v>
      </c>
      <c r="J361" s="137" t="s">
        <v>1133</v>
      </c>
      <c r="K361" s="138">
        <v>9</v>
      </c>
      <c r="L361" s="161"/>
      <c r="M361" s="125"/>
      <c r="N361" s="125"/>
      <c r="O361" s="125"/>
    </row>
    <row r="362" spans="1:15" ht="9.9499999999999993" customHeight="1">
      <c r="A362" s="237"/>
      <c r="B362" s="237"/>
      <c r="C362" s="22">
        <v>353</v>
      </c>
      <c r="D362" s="125"/>
      <c r="E362" s="33" t="s">
        <v>692</v>
      </c>
      <c r="F362" s="161"/>
      <c r="G362" s="163" t="s">
        <v>477</v>
      </c>
      <c r="H362" s="161"/>
      <c r="I362" s="129" t="s">
        <v>478</v>
      </c>
      <c r="J362" s="137" t="s">
        <v>930</v>
      </c>
      <c r="K362" s="171">
        <v>2</v>
      </c>
      <c r="L362" s="161"/>
      <c r="M362" s="125"/>
      <c r="N362" s="125"/>
      <c r="O362" s="125"/>
    </row>
    <row r="363" spans="1:15" ht="9.9499999999999993" customHeight="1">
      <c r="A363" s="237"/>
      <c r="B363" s="237"/>
      <c r="C363" s="22">
        <v>354</v>
      </c>
      <c r="D363" s="125"/>
      <c r="E363" s="76" t="s">
        <v>515</v>
      </c>
      <c r="F363" s="161"/>
      <c r="G363" s="193" t="s">
        <v>516</v>
      </c>
      <c r="H363" s="161"/>
      <c r="I363" s="132" t="s">
        <v>200</v>
      </c>
      <c r="J363" s="137" t="s">
        <v>930</v>
      </c>
      <c r="K363" s="138">
        <v>0</v>
      </c>
      <c r="L363" s="161"/>
      <c r="M363" s="125"/>
      <c r="N363" s="125"/>
      <c r="O363" s="125"/>
    </row>
    <row r="364" spans="1:15" ht="9.9499999999999993" customHeight="1">
      <c r="A364" s="237"/>
      <c r="B364" s="237"/>
      <c r="C364" s="22">
        <v>355</v>
      </c>
      <c r="D364" s="125"/>
      <c r="E364" s="33" t="s">
        <v>515</v>
      </c>
      <c r="F364" s="161"/>
      <c r="G364" s="133" t="s">
        <v>3</v>
      </c>
      <c r="H364" s="161"/>
      <c r="I364" s="138" t="s">
        <v>201</v>
      </c>
      <c r="J364" s="129" t="s">
        <v>930</v>
      </c>
      <c r="K364" s="129">
        <v>0</v>
      </c>
      <c r="L364" s="161"/>
      <c r="M364" s="125"/>
      <c r="N364" s="125"/>
      <c r="O364" s="125"/>
    </row>
    <row r="365" spans="1:15" ht="9.9499999999999993" customHeight="1">
      <c r="A365" s="237"/>
      <c r="B365" s="237"/>
      <c r="C365" s="22">
        <v>356</v>
      </c>
      <c r="D365" s="125"/>
      <c r="E365" s="45" t="s">
        <v>1141</v>
      </c>
      <c r="F365" s="161"/>
      <c r="G365" s="133" t="s">
        <v>1143</v>
      </c>
      <c r="H365" s="161"/>
      <c r="I365" s="138" t="s">
        <v>517</v>
      </c>
      <c r="J365" s="137" t="s">
        <v>1105</v>
      </c>
      <c r="K365" s="138">
        <v>143</v>
      </c>
      <c r="L365" s="161"/>
      <c r="M365" s="125"/>
      <c r="N365" s="125"/>
      <c r="O365" s="125"/>
    </row>
    <row r="366" spans="1:15" ht="9.9499999999999993" customHeight="1">
      <c r="A366" s="237"/>
      <c r="B366" s="237"/>
      <c r="C366" s="22">
        <v>357</v>
      </c>
      <c r="D366" s="125"/>
      <c r="E366" s="33" t="s">
        <v>1141</v>
      </c>
      <c r="F366" s="161"/>
      <c r="G366" s="133" t="s">
        <v>931</v>
      </c>
      <c r="H366" s="161"/>
      <c r="I366" s="138" t="s">
        <v>883</v>
      </c>
      <c r="J366" s="137" t="s">
        <v>1105</v>
      </c>
      <c r="K366" s="129">
        <v>21</v>
      </c>
      <c r="L366" s="161"/>
      <c r="M366" s="125"/>
      <c r="N366" s="125"/>
      <c r="O366" s="125"/>
    </row>
    <row r="367" spans="1:15" ht="9.9499999999999993" customHeight="1">
      <c r="A367" s="237"/>
      <c r="B367" s="237"/>
      <c r="C367" s="22">
        <v>358</v>
      </c>
      <c r="D367" s="125"/>
      <c r="E367" s="33" t="s">
        <v>1141</v>
      </c>
      <c r="F367" s="161"/>
      <c r="G367" s="133" t="s">
        <v>1123</v>
      </c>
      <c r="H367" s="161"/>
      <c r="I367" s="138" t="s">
        <v>884</v>
      </c>
      <c r="J367" s="137" t="s">
        <v>1105</v>
      </c>
      <c r="K367" s="129">
        <v>101</v>
      </c>
      <c r="L367" s="161"/>
      <c r="M367" s="125"/>
      <c r="N367" s="125"/>
      <c r="O367" s="125"/>
    </row>
    <row r="368" spans="1:15" ht="9.9499999999999993" customHeight="1">
      <c r="A368" s="237"/>
      <c r="B368" s="237"/>
      <c r="C368" s="22">
        <v>359</v>
      </c>
      <c r="D368" s="125"/>
      <c r="E368" s="99" t="s">
        <v>1141</v>
      </c>
      <c r="F368" s="161"/>
      <c r="G368" s="192" t="s">
        <v>518</v>
      </c>
      <c r="H368" s="161"/>
      <c r="I368" s="138" t="s">
        <v>885</v>
      </c>
      <c r="J368" s="138" t="s">
        <v>1105</v>
      </c>
      <c r="K368" s="143">
        <v>25</v>
      </c>
      <c r="L368" s="161"/>
      <c r="M368" s="125"/>
      <c r="N368" s="125"/>
      <c r="O368" s="125"/>
    </row>
    <row r="369" spans="1:15" ht="9.9499999999999993" customHeight="1">
      <c r="A369" s="237"/>
      <c r="B369" s="237"/>
      <c r="C369" s="22">
        <v>360</v>
      </c>
      <c r="D369" s="125"/>
      <c r="E369" s="86" t="s">
        <v>722</v>
      </c>
      <c r="F369" s="161"/>
      <c r="G369" s="201" t="s">
        <v>723</v>
      </c>
      <c r="H369" s="161"/>
      <c r="I369" s="206" t="s">
        <v>724</v>
      </c>
      <c r="J369" s="137" t="s">
        <v>1133</v>
      </c>
      <c r="K369" s="171">
        <v>4</v>
      </c>
      <c r="L369" s="161"/>
      <c r="M369" s="125"/>
      <c r="N369" s="125"/>
      <c r="O369" s="125"/>
    </row>
    <row r="370" spans="1:15" ht="9.9499999999999993" customHeight="1">
      <c r="A370" s="237"/>
      <c r="B370" s="237"/>
      <c r="C370" s="22">
        <v>361</v>
      </c>
      <c r="D370" s="125"/>
      <c r="E370" s="33" t="s">
        <v>533</v>
      </c>
      <c r="F370" s="161"/>
      <c r="G370" s="133" t="s">
        <v>534</v>
      </c>
      <c r="H370" s="161"/>
      <c r="I370" s="138" t="s">
        <v>582</v>
      </c>
      <c r="J370" s="137" t="s">
        <v>930</v>
      </c>
      <c r="K370" s="129">
        <v>0</v>
      </c>
      <c r="L370" s="161"/>
      <c r="M370" s="125"/>
      <c r="N370" s="125"/>
      <c r="O370" s="125"/>
    </row>
    <row r="371" spans="1:15" ht="9.9499999999999993" customHeight="1">
      <c r="A371" s="237"/>
      <c r="B371" s="237"/>
      <c r="C371" s="22">
        <v>362</v>
      </c>
      <c r="D371" s="125"/>
      <c r="E371" s="33" t="s">
        <v>89</v>
      </c>
      <c r="F371" s="161"/>
      <c r="G371" s="133" t="s">
        <v>88</v>
      </c>
      <c r="H371" s="161"/>
      <c r="I371" s="138" t="s">
        <v>90</v>
      </c>
      <c r="J371" s="137" t="s">
        <v>1133</v>
      </c>
      <c r="K371" s="129">
        <v>54</v>
      </c>
      <c r="L371" s="161"/>
      <c r="M371" s="125"/>
      <c r="N371" s="125"/>
      <c r="O371" s="125"/>
    </row>
    <row r="372" spans="1:15" ht="9.9499999999999993" customHeight="1">
      <c r="A372" s="237"/>
      <c r="B372" s="237"/>
      <c r="C372" s="22">
        <v>363</v>
      </c>
      <c r="D372" s="125"/>
      <c r="E372" s="86" t="s">
        <v>536</v>
      </c>
      <c r="F372" s="161"/>
      <c r="G372" s="201" t="s">
        <v>713</v>
      </c>
      <c r="H372" s="161"/>
      <c r="I372" s="162" t="s">
        <v>714</v>
      </c>
      <c r="J372" s="137" t="s">
        <v>930</v>
      </c>
      <c r="K372" s="171">
        <v>4</v>
      </c>
      <c r="L372" s="161"/>
      <c r="M372" s="125"/>
      <c r="N372" s="125"/>
      <c r="O372" s="125"/>
    </row>
    <row r="373" spans="1:15" ht="9.9499999999999993" customHeight="1">
      <c r="A373" s="237"/>
      <c r="B373" s="237"/>
      <c r="C373" s="22">
        <v>364</v>
      </c>
      <c r="D373" s="125"/>
      <c r="E373" s="86" t="s">
        <v>537</v>
      </c>
      <c r="F373" s="161"/>
      <c r="G373" s="201" t="s">
        <v>717</v>
      </c>
      <c r="H373" s="161"/>
      <c r="I373" s="162" t="s">
        <v>538</v>
      </c>
      <c r="J373" s="137" t="s">
        <v>930</v>
      </c>
      <c r="K373" s="171">
        <v>4</v>
      </c>
      <c r="L373" s="161"/>
      <c r="M373" s="125"/>
      <c r="N373" s="125"/>
      <c r="O373" s="125"/>
    </row>
    <row r="374" spans="1:15" ht="9.9499999999999993" customHeight="1">
      <c r="A374" s="237"/>
      <c r="B374" s="237"/>
      <c r="C374" s="22">
        <v>365</v>
      </c>
      <c r="D374" s="125"/>
      <c r="E374" s="45" t="s">
        <v>539</v>
      </c>
      <c r="F374" s="161"/>
      <c r="G374" s="136" t="s">
        <v>540</v>
      </c>
      <c r="H374" s="161"/>
      <c r="I374" s="132" t="s">
        <v>541</v>
      </c>
      <c r="J374" s="137" t="s">
        <v>542</v>
      </c>
      <c r="K374" s="138">
        <v>2</v>
      </c>
      <c r="L374" s="161"/>
      <c r="M374" s="125"/>
      <c r="N374" s="125"/>
      <c r="O374" s="125"/>
    </row>
    <row r="375" spans="1:15" ht="9.9499999999999993" customHeight="1">
      <c r="A375" s="237"/>
      <c r="B375" s="237"/>
      <c r="C375" s="22">
        <v>366</v>
      </c>
      <c r="D375" s="125"/>
      <c r="E375" s="45" t="s">
        <v>79</v>
      </c>
      <c r="F375" s="161"/>
      <c r="G375" s="136" t="s">
        <v>82</v>
      </c>
      <c r="H375" s="161"/>
      <c r="I375" s="132" t="s">
        <v>1204</v>
      </c>
      <c r="J375" s="137" t="s">
        <v>1208</v>
      </c>
      <c r="K375" s="138">
        <v>0</v>
      </c>
      <c r="L375" s="161"/>
      <c r="M375" s="125"/>
      <c r="N375" s="125"/>
      <c r="O375" s="125"/>
    </row>
    <row r="376" spans="1:15" ht="9.9499999999999993" customHeight="1">
      <c r="A376" s="237"/>
      <c r="B376" s="237"/>
      <c r="C376" s="22">
        <v>367</v>
      </c>
      <c r="D376" s="125"/>
      <c r="E376" s="86" t="s">
        <v>1127</v>
      </c>
      <c r="F376" s="161"/>
      <c r="G376" s="201" t="s">
        <v>1041</v>
      </c>
      <c r="H376" s="161"/>
      <c r="I376" s="162" t="s">
        <v>624</v>
      </c>
      <c r="J376" s="137" t="s">
        <v>1208</v>
      </c>
      <c r="K376" s="171">
        <v>4</v>
      </c>
      <c r="L376" s="161"/>
      <c r="M376" s="125"/>
      <c r="N376" s="125"/>
      <c r="O376" s="125"/>
    </row>
    <row r="377" spans="1:15" ht="9.9499999999999993" customHeight="1">
      <c r="A377" s="237"/>
      <c r="B377" s="237"/>
      <c r="C377" s="22">
        <v>368</v>
      </c>
      <c r="D377" s="125"/>
      <c r="E377" s="86" t="s">
        <v>939</v>
      </c>
      <c r="F377" s="161"/>
      <c r="G377" s="201" t="s">
        <v>1124</v>
      </c>
      <c r="H377" s="161"/>
      <c r="I377" s="162" t="s">
        <v>1102</v>
      </c>
      <c r="J377" s="137" t="s">
        <v>940</v>
      </c>
      <c r="K377" s="171">
        <v>78</v>
      </c>
      <c r="L377" s="161"/>
      <c r="M377" s="125"/>
      <c r="N377" s="125"/>
      <c r="O377" s="125"/>
    </row>
    <row r="378" spans="1:15" ht="9.9499999999999993" customHeight="1">
      <c r="A378" s="237"/>
      <c r="B378" s="237"/>
      <c r="C378" s="22">
        <v>369</v>
      </c>
      <c r="D378" s="125"/>
      <c r="E378" s="99" t="s">
        <v>1141</v>
      </c>
      <c r="F378" s="161"/>
      <c r="G378" s="141" t="s">
        <v>519</v>
      </c>
      <c r="H378" s="161"/>
      <c r="I378" s="142" t="s">
        <v>1235</v>
      </c>
      <c r="J378" s="153" t="s">
        <v>700</v>
      </c>
      <c r="K378" s="143">
        <v>3</v>
      </c>
      <c r="L378" s="161"/>
      <c r="M378" s="125"/>
      <c r="N378" s="125"/>
      <c r="O378" s="125"/>
    </row>
    <row r="379" spans="1:15" ht="9.9499999999999993" customHeight="1">
      <c r="A379" s="237"/>
      <c r="B379" s="237"/>
      <c r="C379" s="22">
        <v>370</v>
      </c>
      <c r="D379" s="125"/>
      <c r="E379" s="33" t="s">
        <v>1141</v>
      </c>
      <c r="F379" s="161"/>
      <c r="G379" s="133" t="s">
        <v>520</v>
      </c>
      <c r="H379" s="161"/>
      <c r="I379" s="138" t="s">
        <v>1237</v>
      </c>
      <c r="J379" s="153" t="s">
        <v>700</v>
      </c>
      <c r="K379" s="129">
        <v>6</v>
      </c>
      <c r="L379" s="161"/>
      <c r="M379" s="125"/>
      <c r="N379" s="125"/>
      <c r="O379" s="125"/>
    </row>
    <row r="380" spans="1:15" ht="9.9499999999999993" customHeight="1">
      <c r="A380" s="237"/>
      <c r="B380" s="237"/>
      <c r="C380" s="22">
        <v>371</v>
      </c>
      <c r="D380" s="125"/>
      <c r="E380" s="97" t="s">
        <v>1141</v>
      </c>
      <c r="F380" s="161"/>
      <c r="G380" s="209" t="s">
        <v>522</v>
      </c>
      <c r="H380" s="161"/>
      <c r="I380" s="171" t="s">
        <v>828</v>
      </c>
      <c r="J380" s="137" t="s">
        <v>700</v>
      </c>
      <c r="K380" s="171">
        <v>6</v>
      </c>
      <c r="L380" s="161"/>
      <c r="M380" s="125"/>
      <c r="N380" s="125"/>
      <c r="O380" s="125"/>
    </row>
    <row r="381" spans="1:15" ht="9.9499999999999993" customHeight="1">
      <c r="A381" s="237"/>
      <c r="B381" s="237"/>
      <c r="C381" s="22">
        <v>372</v>
      </c>
      <c r="D381" s="125"/>
      <c r="E381" s="33" t="s">
        <v>479</v>
      </c>
      <c r="F381" s="161"/>
      <c r="G381" s="163" t="s">
        <v>822</v>
      </c>
      <c r="H381" s="161"/>
      <c r="I381" s="129" t="s">
        <v>823</v>
      </c>
      <c r="J381" s="137" t="s">
        <v>700</v>
      </c>
      <c r="K381" s="171">
        <v>60</v>
      </c>
      <c r="L381" s="161"/>
      <c r="M381" s="125"/>
      <c r="N381" s="125"/>
      <c r="O381" s="125"/>
    </row>
    <row r="382" spans="1:15" ht="9.9499999999999993" customHeight="1">
      <c r="A382" s="237"/>
      <c r="B382" s="237"/>
      <c r="C382" s="22">
        <v>373</v>
      </c>
      <c r="D382" s="125"/>
      <c r="E382" s="75" t="s">
        <v>479</v>
      </c>
      <c r="F382" s="161"/>
      <c r="G382" s="136" t="s">
        <v>480</v>
      </c>
      <c r="H382" s="161"/>
      <c r="I382" s="208" t="s">
        <v>824</v>
      </c>
      <c r="J382" s="137" t="s">
        <v>700</v>
      </c>
      <c r="K382" s="138">
        <v>3</v>
      </c>
      <c r="L382" s="161"/>
      <c r="M382" s="125"/>
      <c r="N382" s="125"/>
      <c r="O382" s="125"/>
    </row>
    <row r="383" spans="1:15" ht="9.9499999999999993" customHeight="1">
      <c r="A383" s="237"/>
      <c r="B383" s="237"/>
      <c r="C383" s="22">
        <v>374</v>
      </c>
      <c r="D383" s="125"/>
      <c r="E383" s="108" t="s">
        <v>1118</v>
      </c>
      <c r="F383" s="161"/>
      <c r="G383" s="131" t="s">
        <v>481</v>
      </c>
      <c r="H383" s="161"/>
      <c r="I383" s="149" t="s">
        <v>482</v>
      </c>
      <c r="J383" s="149" t="s">
        <v>1105</v>
      </c>
      <c r="K383" s="149">
        <v>37</v>
      </c>
      <c r="L383" s="161"/>
      <c r="M383" s="125"/>
      <c r="N383" s="125"/>
      <c r="O383" s="125"/>
    </row>
    <row r="384" spans="1:15" ht="9.9499999999999993" customHeight="1">
      <c r="A384" s="237"/>
      <c r="B384" s="237"/>
      <c r="C384" s="22">
        <v>375</v>
      </c>
      <c r="D384" s="125"/>
      <c r="E384" s="108" t="s">
        <v>1118</v>
      </c>
      <c r="F384" s="161"/>
      <c r="G384" s="131" t="s">
        <v>483</v>
      </c>
      <c r="H384" s="161"/>
      <c r="I384" s="149" t="s">
        <v>484</v>
      </c>
      <c r="J384" s="149" t="s">
        <v>1105</v>
      </c>
      <c r="K384" s="149">
        <v>166</v>
      </c>
      <c r="L384" s="161"/>
      <c r="M384" s="125"/>
      <c r="N384" s="125"/>
      <c r="O384" s="125"/>
    </row>
    <row r="385" spans="1:15" ht="9.9499999999999993" customHeight="1">
      <c r="A385" s="237"/>
      <c r="B385" s="237"/>
      <c r="C385" s="22">
        <v>376</v>
      </c>
      <c r="D385" s="125"/>
      <c r="E385" s="33" t="s">
        <v>1118</v>
      </c>
      <c r="F385" s="161"/>
      <c r="G385" s="163" t="s">
        <v>485</v>
      </c>
      <c r="H385" s="161"/>
      <c r="I385" s="138" t="s">
        <v>882</v>
      </c>
      <c r="J385" s="210" t="s">
        <v>1105</v>
      </c>
      <c r="K385" s="171">
        <v>32</v>
      </c>
      <c r="L385" s="161"/>
      <c r="M385" s="125"/>
      <c r="N385" s="125"/>
      <c r="O385" s="125"/>
    </row>
    <row r="386" spans="1:15" ht="9.9499999999999993" customHeight="1">
      <c r="A386" s="237"/>
      <c r="B386" s="237"/>
      <c r="C386" s="22">
        <v>377</v>
      </c>
      <c r="D386" s="125"/>
      <c r="E386" s="33" t="s">
        <v>1118</v>
      </c>
      <c r="F386" s="161"/>
      <c r="G386" s="163" t="s">
        <v>481</v>
      </c>
      <c r="H386" s="161"/>
      <c r="I386" s="138" t="s">
        <v>487</v>
      </c>
      <c r="J386" s="210" t="s">
        <v>700</v>
      </c>
      <c r="K386" s="171">
        <v>132</v>
      </c>
      <c r="L386" s="161"/>
      <c r="M386" s="125"/>
      <c r="N386" s="125"/>
      <c r="O386" s="125"/>
    </row>
    <row r="387" spans="1:15" ht="9.9499999999999993" customHeight="1">
      <c r="A387" s="237"/>
      <c r="B387" s="237"/>
      <c r="C387" s="22">
        <v>378</v>
      </c>
      <c r="D387" s="125"/>
      <c r="E387" s="99" t="s">
        <v>1118</v>
      </c>
      <c r="F387" s="161"/>
      <c r="G387" s="211" t="s">
        <v>485</v>
      </c>
      <c r="H387" s="161"/>
      <c r="I387" s="212" t="s">
        <v>489</v>
      </c>
      <c r="J387" s="153" t="s">
        <v>700</v>
      </c>
      <c r="K387" s="213">
        <v>24</v>
      </c>
      <c r="L387" s="161"/>
      <c r="M387" s="125"/>
      <c r="N387" s="125"/>
      <c r="O387" s="125"/>
    </row>
    <row r="388" spans="1:15" ht="9.9499999999999993" customHeight="1">
      <c r="A388" s="237"/>
      <c r="B388" s="237"/>
      <c r="C388" s="22">
        <v>379</v>
      </c>
      <c r="D388" s="125"/>
      <c r="E388" s="33" t="s">
        <v>1106</v>
      </c>
      <c r="F388" s="161"/>
      <c r="G388" s="131" t="s">
        <v>1107</v>
      </c>
      <c r="H388" s="161"/>
      <c r="I388" s="129" t="s">
        <v>491</v>
      </c>
      <c r="J388" s="129" t="s">
        <v>1105</v>
      </c>
      <c r="K388" s="180">
        <v>0</v>
      </c>
      <c r="L388" s="161"/>
      <c r="M388" s="125"/>
      <c r="N388" s="125"/>
      <c r="O388" s="125"/>
    </row>
    <row r="389" spans="1:15" ht="9.9499999999999993" customHeight="1">
      <c r="A389" s="237"/>
      <c r="B389" s="237"/>
      <c r="C389" s="22">
        <v>380</v>
      </c>
      <c r="D389" s="125"/>
      <c r="E389" s="33" t="s">
        <v>1106</v>
      </c>
      <c r="F389" s="161"/>
      <c r="G389" s="131" t="s">
        <v>1108</v>
      </c>
      <c r="H389" s="161"/>
      <c r="I389" s="129" t="s">
        <v>493</v>
      </c>
      <c r="J389" s="129" t="s">
        <v>1105</v>
      </c>
      <c r="K389" s="180">
        <v>31</v>
      </c>
      <c r="L389" s="161"/>
      <c r="M389" s="125"/>
      <c r="N389" s="125"/>
      <c r="O389" s="125"/>
    </row>
    <row r="390" spans="1:15" ht="9.9499999999999993" customHeight="1">
      <c r="A390" s="237"/>
      <c r="B390" s="237"/>
      <c r="C390" s="22">
        <v>381</v>
      </c>
      <c r="D390" s="125"/>
      <c r="E390" s="99" t="s">
        <v>1118</v>
      </c>
      <c r="F390" s="161"/>
      <c r="G390" s="211" t="s">
        <v>495</v>
      </c>
      <c r="H390" s="161"/>
      <c r="I390" s="212" t="s">
        <v>496</v>
      </c>
      <c r="J390" s="153" t="s">
        <v>700</v>
      </c>
      <c r="K390" s="213">
        <v>0</v>
      </c>
      <c r="L390" s="161"/>
      <c r="M390" s="125"/>
      <c r="N390" s="125"/>
      <c r="O390" s="125"/>
    </row>
    <row r="391" spans="1:15" ht="9.9499999999999993" customHeight="1">
      <c r="A391" s="237"/>
      <c r="B391" s="237"/>
      <c r="C391" s="22">
        <v>382</v>
      </c>
      <c r="D391" s="125"/>
      <c r="E391" s="33" t="s">
        <v>1118</v>
      </c>
      <c r="F391" s="161"/>
      <c r="G391" s="131" t="s">
        <v>495</v>
      </c>
      <c r="H391" s="161"/>
      <c r="I391" s="129" t="s">
        <v>497</v>
      </c>
      <c r="J391" s="129" t="s">
        <v>700</v>
      </c>
      <c r="K391" s="180">
        <v>0</v>
      </c>
      <c r="L391" s="161"/>
      <c r="M391" s="125"/>
      <c r="N391" s="125"/>
      <c r="O391" s="125"/>
    </row>
    <row r="392" spans="1:15" ht="9.9499999999999993" customHeight="1">
      <c r="A392" s="237"/>
      <c r="B392" s="237"/>
      <c r="C392" s="22">
        <v>383</v>
      </c>
      <c r="D392" s="125"/>
      <c r="E392" s="50" t="s">
        <v>393</v>
      </c>
      <c r="F392" s="161"/>
      <c r="G392" s="139" t="s">
        <v>394</v>
      </c>
      <c r="H392" s="161"/>
      <c r="I392" s="140" t="s">
        <v>395</v>
      </c>
      <c r="J392" s="140" t="s">
        <v>940</v>
      </c>
      <c r="K392" s="140">
        <v>120</v>
      </c>
      <c r="L392" s="161"/>
      <c r="M392" s="125"/>
      <c r="N392" s="125"/>
      <c r="O392" s="125"/>
    </row>
    <row r="393" spans="1:15" ht="9.9499999999999993" customHeight="1">
      <c r="A393" s="237"/>
      <c r="B393" s="237"/>
      <c r="C393" s="22">
        <v>384</v>
      </c>
      <c r="D393" s="125"/>
      <c r="E393" s="75" t="s">
        <v>1010</v>
      </c>
      <c r="F393" s="161"/>
      <c r="G393" s="131" t="s">
        <v>1011</v>
      </c>
      <c r="H393" s="161"/>
      <c r="I393" s="132" t="s">
        <v>1012</v>
      </c>
      <c r="J393" s="137" t="s">
        <v>1013</v>
      </c>
      <c r="K393" s="138">
        <v>8</v>
      </c>
      <c r="L393" s="161"/>
      <c r="M393" s="125"/>
      <c r="N393" s="125"/>
      <c r="O393" s="125"/>
    </row>
    <row r="394" spans="1:15" ht="9.9499999999999993" customHeight="1">
      <c r="A394" s="237"/>
      <c r="B394" s="237"/>
      <c r="C394" s="22">
        <v>385</v>
      </c>
      <c r="D394" s="125"/>
      <c r="E394" s="86" t="s">
        <v>1138</v>
      </c>
      <c r="F394" s="161"/>
      <c r="G394" s="201" t="s">
        <v>1139</v>
      </c>
      <c r="H394" s="161"/>
      <c r="I394" s="162" t="s">
        <v>880</v>
      </c>
      <c r="J394" s="137" t="s">
        <v>700</v>
      </c>
      <c r="K394" s="171">
        <v>11</v>
      </c>
      <c r="L394" s="161"/>
      <c r="M394" s="125"/>
      <c r="N394" s="125"/>
      <c r="O394" s="125"/>
    </row>
    <row r="395" spans="1:15" ht="9.9499999999999993" customHeight="1">
      <c r="A395" s="237"/>
      <c r="B395" s="237"/>
      <c r="C395" s="22">
        <v>386</v>
      </c>
      <c r="D395" s="125"/>
      <c r="E395" s="86" t="s">
        <v>1184</v>
      </c>
      <c r="F395" s="161"/>
      <c r="G395" s="201" t="s">
        <v>1185</v>
      </c>
      <c r="H395" s="161"/>
      <c r="I395" s="162" t="s">
        <v>889</v>
      </c>
      <c r="J395" s="129" t="s">
        <v>700</v>
      </c>
      <c r="K395" s="171">
        <v>3</v>
      </c>
      <c r="L395" s="161"/>
      <c r="M395" s="125"/>
      <c r="N395" s="125"/>
      <c r="O395" s="125"/>
    </row>
    <row r="396" spans="1:15" ht="9.9499999999999993" customHeight="1">
      <c r="A396" s="237"/>
      <c r="B396" s="237"/>
      <c r="C396" s="22">
        <v>387</v>
      </c>
      <c r="D396" s="125"/>
      <c r="E396" s="33" t="s">
        <v>1120</v>
      </c>
      <c r="F396" s="161"/>
      <c r="G396" s="133" t="s">
        <v>1121</v>
      </c>
      <c r="H396" s="161"/>
      <c r="I396" s="138" t="s">
        <v>877</v>
      </c>
      <c r="J396" s="129" t="s">
        <v>1105</v>
      </c>
      <c r="K396" s="129">
        <v>13</v>
      </c>
      <c r="L396" s="161"/>
      <c r="M396" s="125"/>
      <c r="N396" s="125"/>
      <c r="O396" s="125"/>
    </row>
    <row r="397" spans="1:15" ht="9.9499999999999993" customHeight="1">
      <c r="A397" s="237"/>
      <c r="B397" s="237"/>
      <c r="C397" s="22">
        <v>388</v>
      </c>
      <c r="D397" s="125"/>
      <c r="E397" s="33" t="s">
        <v>1120</v>
      </c>
      <c r="F397" s="161"/>
      <c r="G397" s="214" t="s">
        <v>1121</v>
      </c>
      <c r="H397" s="161"/>
      <c r="I397" s="215" t="s">
        <v>1003</v>
      </c>
      <c r="J397" s="153" t="s">
        <v>700</v>
      </c>
      <c r="K397" s="143">
        <v>8</v>
      </c>
      <c r="L397" s="161"/>
      <c r="M397" s="125"/>
      <c r="N397" s="125"/>
      <c r="O397" s="125"/>
    </row>
    <row r="398" spans="1:15" ht="9.9499999999999993" customHeight="1">
      <c r="A398" s="237"/>
      <c r="B398" s="237"/>
      <c r="C398" s="22">
        <v>389</v>
      </c>
      <c r="D398" s="125"/>
      <c r="E398" s="33" t="s">
        <v>1111</v>
      </c>
      <c r="F398" s="161"/>
      <c r="G398" s="131"/>
      <c r="H398" s="161"/>
      <c r="I398" s="129" t="s">
        <v>498</v>
      </c>
      <c r="J398" s="129" t="s">
        <v>1105</v>
      </c>
      <c r="K398" s="180">
        <v>105</v>
      </c>
      <c r="L398" s="161"/>
      <c r="M398" s="125"/>
      <c r="N398" s="125"/>
      <c r="O398" s="125"/>
    </row>
    <row r="399" spans="1:15" ht="9.9499999999999993" customHeight="1">
      <c r="A399" s="237"/>
      <c r="B399" s="237"/>
      <c r="C399" s="22">
        <v>390</v>
      </c>
      <c r="D399" s="125"/>
      <c r="E399" s="45" t="s">
        <v>1111</v>
      </c>
      <c r="F399" s="161"/>
      <c r="G399" s="133"/>
      <c r="H399" s="161"/>
      <c r="I399" s="132" t="s">
        <v>206</v>
      </c>
      <c r="J399" s="137" t="s">
        <v>1133</v>
      </c>
      <c r="K399" s="138">
        <v>0</v>
      </c>
      <c r="L399" s="161"/>
      <c r="M399" s="125"/>
      <c r="N399" s="125"/>
      <c r="O399" s="125"/>
    </row>
    <row r="400" spans="1:15" ht="9.9499999999999993" customHeight="1">
      <c r="A400" s="237"/>
      <c r="B400" s="237"/>
      <c r="C400" s="22">
        <v>391</v>
      </c>
      <c r="D400" s="125"/>
      <c r="E400" s="45" t="s">
        <v>499</v>
      </c>
      <c r="F400" s="161"/>
      <c r="G400" s="133"/>
      <c r="H400" s="161"/>
      <c r="I400" s="132" t="s">
        <v>888</v>
      </c>
      <c r="J400" s="137" t="s">
        <v>700</v>
      </c>
      <c r="K400" s="138">
        <v>12</v>
      </c>
      <c r="L400" s="161"/>
      <c r="M400" s="125"/>
      <c r="N400" s="125"/>
      <c r="O400" s="125"/>
    </row>
    <row r="401" spans="1:15" ht="9.9499999999999993" customHeight="1">
      <c r="A401" s="237"/>
      <c r="B401" s="237"/>
      <c r="C401" s="22">
        <v>392</v>
      </c>
      <c r="D401" s="125"/>
      <c r="E401" s="45" t="s">
        <v>499</v>
      </c>
      <c r="F401" s="161"/>
      <c r="G401" s="133"/>
      <c r="H401" s="161"/>
      <c r="I401" s="132" t="s">
        <v>993</v>
      </c>
      <c r="J401" s="137" t="s">
        <v>62</v>
      </c>
      <c r="K401" s="138">
        <v>6</v>
      </c>
      <c r="L401" s="161"/>
      <c r="M401" s="125"/>
      <c r="N401" s="125"/>
      <c r="O401" s="125"/>
    </row>
    <row r="402" spans="1:15" ht="9.9499999999999993" customHeight="1">
      <c r="A402" s="237"/>
      <c r="B402" s="237"/>
      <c r="C402" s="22">
        <v>393</v>
      </c>
      <c r="D402" s="125"/>
      <c r="E402" s="50" t="s">
        <v>1109</v>
      </c>
      <c r="F402" s="161"/>
      <c r="G402" s="139" t="s">
        <v>1110</v>
      </c>
      <c r="H402" s="161"/>
      <c r="I402" s="199" t="s">
        <v>500</v>
      </c>
      <c r="J402" s="153" t="s">
        <v>1105</v>
      </c>
      <c r="K402" s="140">
        <v>14</v>
      </c>
      <c r="L402" s="161"/>
      <c r="M402" s="125"/>
      <c r="N402" s="125"/>
      <c r="O402" s="125"/>
    </row>
    <row r="403" spans="1:15" ht="9.9499999999999993" customHeight="1">
      <c r="A403" s="237"/>
      <c r="B403" s="237"/>
      <c r="C403" s="22">
        <v>394</v>
      </c>
      <c r="D403" s="125"/>
      <c r="E403" s="50" t="s">
        <v>1140</v>
      </c>
      <c r="F403" s="161"/>
      <c r="G403" s="139"/>
      <c r="H403" s="161"/>
      <c r="I403" s="199" t="s">
        <v>878</v>
      </c>
      <c r="J403" s="153" t="s">
        <v>1133</v>
      </c>
      <c r="K403" s="140">
        <v>12</v>
      </c>
      <c r="L403" s="161"/>
      <c r="M403" s="125"/>
      <c r="N403" s="125"/>
      <c r="O403" s="125"/>
    </row>
    <row r="404" spans="1:15" ht="9.9499999999999993" customHeight="1">
      <c r="A404" s="237"/>
      <c r="B404" s="237"/>
      <c r="C404" s="22">
        <v>395</v>
      </c>
      <c r="D404" s="125"/>
      <c r="E404" s="76" t="s">
        <v>701</v>
      </c>
      <c r="F404" s="161"/>
      <c r="G404" s="193" t="s">
        <v>702</v>
      </c>
      <c r="H404" s="161"/>
      <c r="I404" s="132" t="s">
        <v>703</v>
      </c>
      <c r="J404" s="137" t="s">
        <v>700</v>
      </c>
      <c r="K404" s="138">
        <v>4</v>
      </c>
      <c r="L404" s="161"/>
      <c r="M404" s="125"/>
      <c r="N404" s="125"/>
      <c r="O404" s="125"/>
    </row>
    <row r="405" spans="1:15" ht="9.9499999999999993" customHeight="1">
      <c r="A405" s="237"/>
      <c r="B405" s="237"/>
      <c r="C405" s="22">
        <v>396</v>
      </c>
      <c r="D405" s="125"/>
      <c r="E405" s="33" t="s">
        <v>501</v>
      </c>
      <c r="F405" s="161"/>
      <c r="G405" s="133" t="s">
        <v>593</v>
      </c>
      <c r="H405" s="161"/>
      <c r="I405" s="138" t="s">
        <v>594</v>
      </c>
      <c r="J405" s="129" t="s">
        <v>1196</v>
      </c>
      <c r="K405" s="129">
        <v>3</v>
      </c>
      <c r="L405" s="161"/>
      <c r="M405" s="125"/>
      <c r="N405" s="125"/>
      <c r="O405" s="125"/>
    </row>
    <row r="406" spans="1:15" ht="9.9499999999999993" customHeight="1">
      <c r="A406" s="237"/>
      <c r="B406" s="237"/>
      <c r="C406" s="22">
        <v>397</v>
      </c>
      <c r="D406" s="125"/>
      <c r="E406" s="76" t="s">
        <v>1017</v>
      </c>
      <c r="F406" s="161"/>
      <c r="G406" s="193" t="s">
        <v>1246</v>
      </c>
      <c r="H406" s="161"/>
      <c r="I406" s="132" t="s">
        <v>1247</v>
      </c>
      <c r="J406" s="137" t="s">
        <v>1196</v>
      </c>
      <c r="K406" s="138">
        <v>7</v>
      </c>
      <c r="L406" s="161"/>
      <c r="M406" s="125"/>
      <c r="N406" s="125"/>
      <c r="O406" s="125"/>
    </row>
    <row r="407" spans="1:15" ht="9.9499999999999993" customHeight="1">
      <c r="A407" s="237"/>
      <c r="B407" s="237"/>
      <c r="C407" s="22">
        <v>398</v>
      </c>
      <c r="D407" s="125"/>
      <c r="E407" s="110" t="s">
        <v>1017</v>
      </c>
      <c r="F407" s="161"/>
      <c r="G407" s="193" t="s">
        <v>1015</v>
      </c>
      <c r="H407" s="161"/>
      <c r="I407" s="132" t="s">
        <v>1018</v>
      </c>
      <c r="J407" s="137" t="s">
        <v>1134</v>
      </c>
      <c r="K407" s="129">
        <v>8</v>
      </c>
      <c r="L407" s="161"/>
      <c r="M407" s="125"/>
      <c r="N407" s="125"/>
      <c r="O407" s="125"/>
    </row>
    <row r="408" spans="1:15" ht="9.9499999999999993" customHeight="1">
      <c r="A408" s="237"/>
      <c r="B408" s="237"/>
      <c r="C408" s="22">
        <v>399</v>
      </c>
      <c r="D408" s="125"/>
      <c r="E408" s="76" t="s">
        <v>1014</v>
      </c>
      <c r="F408" s="161"/>
      <c r="G408" s="193" t="s">
        <v>1015</v>
      </c>
      <c r="H408" s="161"/>
      <c r="I408" s="132" t="s">
        <v>1016</v>
      </c>
      <c r="J408" s="137" t="s">
        <v>1134</v>
      </c>
      <c r="K408" s="171">
        <v>0</v>
      </c>
      <c r="L408" s="161"/>
      <c r="M408" s="125"/>
      <c r="N408" s="125"/>
      <c r="O408" s="125"/>
    </row>
    <row r="409" spans="1:15" ht="9.9499999999999993" customHeight="1">
      <c r="A409" s="237"/>
      <c r="B409" s="237"/>
      <c r="C409" s="22">
        <v>400</v>
      </c>
      <c r="D409" s="125"/>
      <c r="E409" s="76" t="s">
        <v>1014</v>
      </c>
      <c r="F409" s="161"/>
      <c r="G409" s="193" t="s">
        <v>1246</v>
      </c>
      <c r="H409" s="161"/>
      <c r="I409" s="132" t="s">
        <v>1</v>
      </c>
      <c r="J409" s="137" t="s">
        <v>1196</v>
      </c>
      <c r="K409" s="171">
        <v>4</v>
      </c>
      <c r="L409" s="161"/>
      <c r="M409" s="125"/>
      <c r="N409" s="125"/>
      <c r="O409" s="125"/>
    </row>
    <row r="410" spans="1:15" ht="9.9499999999999993" customHeight="1">
      <c r="A410" s="237"/>
      <c r="B410" s="237"/>
      <c r="C410" s="22">
        <v>401</v>
      </c>
      <c r="D410" s="125"/>
      <c r="E410" s="75" t="s">
        <v>966</v>
      </c>
      <c r="F410" s="161"/>
      <c r="G410" s="131" t="s">
        <v>1187</v>
      </c>
      <c r="H410" s="161"/>
      <c r="I410" s="138" t="s">
        <v>1068</v>
      </c>
      <c r="J410" s="137" t="s">
        <v>1196</v>
      </c>
      <c r="K410" s="138">
        <v>0</v>
      </c>
      <c r="L410" s="161"/>
      <c r="M410" s="125"/>
      <c r="N410" s="125"/>
      <c r="O410" s="125"/>
    </row>
    <row r="411" spans="1:15" ht="9.9499999999999993" customHeight="1">
      <c r="A411" s="237"/>
      <c r="B411" s="237"/>
      <c r="C411" s="22">
        <v>402</v>
      </c>
      <c r="D411" s="125"/>
      <c r="E411" s="75" t="s">
        <v>966</v>
      </c>
      <c r="F411" s="161"/>
      <c r="G411" s="131" t="s">
        <v>1188</v>
      </c>
      <c r="H411" s="161"/>
      <c r="I411" s="138" t="s">
        <v>1069</v>
      </c>
      <c r="J411" s="137" t="s">
        <v>1196</v>
      </c>
      <c r="K411" s="138">
        <v>3</v>
      </c>
      <c r="L411" s="161"/>
      <c r="M411" s="125"/>
      <c r="N411" s="125"/>
      <c r="O411" s="125"/>
    </row>
    <row r="412" spans="1:15" ht="9.9499999999999993" customHeight="1">
      <c r="A412" s="237"/>
      <c r="B412" s="237"/>
      <c r="C412" s="22">
        <v>403</v>
      </c>
      <c r="D412" s="125"/>
      <c r="E412" s="99" t="s">
        <v>966</v>
      </c>
      <c r="F412" s="161"/>
      <c r="G412" s="211" t="s">
        <v>1189</v>
      </c>
      <c r="H412" s="161"/>
      <c r="I412" s="212" t="s">
        <v>1070</v>
      </c>
      <c r="J412" s="153" t="s">
        <v>1196</v>
      </c>
      <c r="K412" s="213">
        <v>0</v>
      </c>
      <c r="L412" s="161"/>
      <c r="M412" s="125"/>
      <c r="N412" s="125"/>
      <c r="O412" s="125"/>
    </row>
    <row r="413" spans="1:15" ht="9.9499999999999993" customHeight="1">
      <c r="A413" s="237"/>
      <c r="B413" s="237"/>
      <c r="C413" s="22">
        <v>404</v>
      </c>
      <c r="D413" s="125"/>
      <c r="E413" s="50" t="s">
        <v>966</v>
      </c>
      <c r="F413" s="161"/>
      <c r="G413" s="139" t="s">
        <v>1190</v>
      </c>
      <c r="H413" s="161"/>
      <c r="I413" s="199" t="s">
        <v>1071</v>
      </c>
      <c r="J413" s="153" t="s">
        <v>1196</v>
      </c>
      <c r="K413" s="140">
        <v>3</v>
      </c>
      <c r="L413" s="161"/>
      <c r="M413" s="125"/>
      <c r="N413" s="125"/>
      <c r="O413" s="125"/>
    </row>
    <row r="414" spans="1:15" ht="9.9499999999999993" customHeight="1">
      <c r="A414" s="237"/>
      <c r="B414" s="237"/>
      <c r="C414" s="22">
        <v>405</v>
      </c>
      <c r="D414" s="125"/>
      <c r="E414" s="50" t="s">
        <v>966</v>
      </c>
      <c r="F414" s="161"/>
      <c r="G414" s="139" t="s">
        <v>972</v>
      </c>
      <c r="H414" s="161"/>
      <c r="I414" s="199" t="s">
        <v>1072</v>
      </c>
      <c r="J414" s="153" t="s">
        <v>1196</v>
      </c>
      <c r="K414" s="140">
        <v>3</v>
      </c>
      <c r="L414" s="161"/>
      <c r="M414" s="125"/>
      <c r="N414" s="125"/>
      <c r="O414" s="125"/>
    </row>
    <row r="415" spans="1:15" ht="9.9499999999999993" customHeight="1">
      <c r="A415" s="237"/>
      <c r="B415" s="237"/>
      <c r="C415" s="22">
        <v>406</v>
      </c>
      <c r="D415" s="125"/>
      <c r="E415" s="75" t="s">
        <v>966</v>
      </c>
      <c r="F415" s="161"/>
      <c r="G415" s="193" t="s">
        <v>1191</v>
      </c>
      <c r="H415" s="161"/>
      <c r="I415" s="132" t="s">
        <v>1152</v>
      </c>
      <c r="J415" s="137" t="s">
        <v>1196</v>
      </c>
      <c r="K415" s="138">
        <v>3</v>
      </c>
      <c r="L415" s="161"/>
      <c r="M415" s="125"/>
      <c r="N415" s="125"/>
      <c r="O415" s="125"/>
    </row>
    <row r="416" spans="1:15" ht="9.9499999999999993" customHeight="1">
      <c r="A416" s="237"/>
      <c r="B416" s="237"/>
      <c r="C416" s="22">
        <v>407</v>
      </c>
      <c r="D416" s="125"/>
      <c r="E416" s="33" t="s">
        <v>966</v>
      </c>
      <c r="F416" s="161"/>
      <c r="G416" s="133" t="s">
        <v>1193</v>
      </c>
      <c r="H416" s="161"/>
      <c r="I416" s="138" t="s">
        <v>1153</v>
      </c>
      <c r="J416" s="129" t="s">
        <v>1196</v>
      </c>
      <c r="K416" s="129">
        <v>3</v>
      </c>
      <c r="L416" s="161"/>
      <c r="M416" s="125"/>
      <c r="N416" s="125"/>
      <c r="O416" s="125"/>
    </row>
    <row r="417" spans="1:15" ht="9.9499999999999993" customHeight="1">
      <c r="A417" s="237"/>
      <c r="B417" s="237"/>
      <c r="C417" s="22">
        <v>408</v>
      </c>
      <c r="D417" s="125"/>
      <c r="E417" s="75" t="s">
        <v>966</v>
      </c>
      <c r="F417" s="161"/>
      <c r="G417" s="131" t="s">
        <v>976</v>
      </c>
      <c r="H417" s="161"/>
      <c r="I417" s="138" t="s">
        <v>977</v>
      </c>
      <c r="J417" s="137" t="s">
        <v>1196</v>
      </c>
      <c r="K417" s="138">
        <v>0</v>
      </c>
      <c r="L417" s="161"/>
      <c r="M417" s="125"/>
      <c r="N417" s="125"/>
      <c r="O417" s="125"/>
    </row>
    <row r="418" spans="1:15" ht="9.9499999999999993" customHeight="1">
      <c r="A418" s="237"/>
      <c r="B418" s="237"/>
      <c r="C418" s="22">
        <v>409</v>
      </c>
      <c r="D418" s="125"/>
      <c r="E418" s="33" t="s">
        <v>966</v>
      </c>
      <c r="F418" s="161"/>
      <c r="G418" s="133" t="s">
        <v>1020</v>
      </c>
      <c r="H418" s="161"/>
      <c r="I418" s="138" t="s">
        <v>1021</v>
      </c>
      <c r="J418" s="129" t="s">
        <v>1134</v>
      </c>
      <c r="K418" s="129">
        <v>0</v>
      </c>
      <c r="L418" s="161"/>
      <c r="M418" s="125"/>
      <c r="N418" s="125"/>
      <c r="O418" s="125"/>
    </row>
    <row r="419" spans="1:15" ht="9.9499999999999993" customHeight="1">
      <c r="A419" s="237"/>
      <c r="B419" s="237"/>
      <c r="C419" s="22">
        <v>410</v>
      </c>
      <c r="D419" s="125"/>
      <c r="E419" s="75" t="s">
        <v>966</v>
      </c>
      <c r="F419" s="161"/>
      <c r="G419" s="131" t="s">
        <v>1023</v>
      </c>
      <c r="H419" s="161"/>
      <c r="I419" s="138" t="s">
        <v>1024</v>
      </c>
      <c r="J419" s="137" t="s">
        <v>1134</v>
      </c>
      <c r="K419" s="138">
        <v>8</v>
      </c>
      <c r="L419" s="161"/>
      <c r="M419" s="125"/>
      <c r="N419" s="125"/>
      <c r="O419" s="125"/>
    </row>
    <row r="420" spans="1:15" ht="9.9499999999999993" customHeight="1">
      <c r="A420" s="237"/>
      <c r="B420" s="237"/>
      <c r="C420" s="22">
        <v>411</v>
      </c>
      <c r="D420" s="125"/>
      <c r="E420" s="45" t="s">
        <v>966</v>
      </c>
      <c r="F420" s="161"/>
      <c r="G420" s="133" t="s">
        <v>1026</v>
      </c>
      <c r="H420" s="161"/>
      <c r="I420" s="138" t="s">
        <v>1027</v>
      </c>
      <c r="J420" s="137" t="s">
        <v>1134</v>
      </c>
      <c r="K420" s="138">
        <v>0</v>
      </c>
      <c r="L420" s="161"/>
      <c r="M420" s="125"/>
      <c r="N420" s="125"/>
      <c r="O420" s="125"/>
    </row>
    <row r="421" spans="1:15" ht="9.9499999999999993" customHeight="1">
      <c r="A421" s="237"/>
      <c r="B421" s="237"/>
      <c r="C421" s="22">
        <v>412</v>
      </c>
      <c r="D421" s="125"/>
      <c r="E421" s="45" t="s">
        <v>966</v>
      </c>
      <c r="F421" s="161"/>
      <c r="G421" s="133" t="s">
        <v>1029</v>
      </c>
      <c r="H421" s="161"/>
      <c r="I421" s="138" t="s">
        <v>1030</v>
      </c>
      <c r="J421" s="137" t="s">
        <v>1134</v>
      </c>
      <c r="K421" s="138">
        <v>8</v>
      </c>
      <c r="L421" s="161"/>
      <c r="M421" s="125"/>
      <c r="N421" s="125"/>
      <c r="O421" s="125"/>
    </row>
    <row r="422" spans="1:15" ht="9.9499999999999993" customHeight="1">
      <c r="A422" s="237"/>
      <c r="B422" s="237"/>
      <c r="C422" s="22">
        <v>413</v>
      </c>
      <c r="D422" s="125"/>
      <c r="E422" s="45" t="s">
        <v>966</v>
      </c>
      <c r="F422" s="161"/>
      <c r="G422" s="133" t="s">
        <v>1032</v>
      </c>
      <c r="H422" s="161"/>
      <c r="I422" s="138" t="s">
        <v>1033</v>
      </c>
      <c r="J422" s="137" t="s">
        <v>1134</v>
      </c>
      <c r="K422" s="138">
        <v>8</v>
      </c>
      <c r="L422" s="161"/>
      <c r="M422" s="125"/>
      <c r="N422" s="125"/>
      <c r="O422" s="125"/>
    </row>
    <row r="423" spans="1:15" ht="9.9499999999999993" customHeight="1">
      <c r="A423" s="237"/>
      <c r="B423" s="237"/>
      <c r="C423" s="22">
        <v>414</v>
      </c>
      <c r="D423" s="125"/>
      <c r="E423" s="33" t="s">
        <v>954</v>
      </c>
      <c r="F423" s="161"/>
      <c r="G423" s="127" t="s">
        <v>979</v>
      </c>
      <c r="H423" s="161"/>
      <c r="I423" s="138" t="s">
        <v>980</v>
      </c>
      <c r="J423" s="129" t="s">
        <v>1196</v>
      </c>
      <c r="K423" s="129">
        <v>0</v>
      </c>
      <c r="L423" s="161"/>
      <c r="M423" s="125"/>
      <c r="N423" s="125"/>
      <c r="O423" s="125"/>
    </row>
    <row r="424" spans="1:15" ht="9.9499999999999993" customHeight="1">
      <c r="A424" s="237"/>
      <c r="B424" s="237"/>
      <c r="C424" s="22">
        <v>415</v>
      </c>
      <c r="D424" s="125"/>
      <c r="E424" s="108" t="s">
        <v>954</v>
      </c>
      <c r="F424" s="161"/>
      <c r="G424" s="131" t="s">
        <v>982</v>
      </c>
      <c r="H424" s="161"/>
      <c r="I424" s="149" t="s">
        <v>983</v>
      </c>
      <c r="J424" s="149" t="s">
        <v>1196</v>
      </c>
      <c r="K424" s="149">
        <v>3</v>
      </c>
      <c r="L424" s="161"/>
      <c r="M424" s="125"/>
      <c r="N424" s="125"/>
      <c r="O424" s="125"/>
    </row>
    <row r="425" spans="1:15" ht="9.9499999999999993" customHeight="1">
      <c r="A425" s="237"/>
      <c r="B425" s="237"/>
      <c r="C425" s="22">
        <v>416</v>
      </c>
      <c r="D425" s="125"/>
      <c r="E425" s="108" t="s">
        <v>954</v>
      </c>
      <c r="F425" s="161"/>
      <c r="G425" s="131" t="s">
        <v>985</v>
      </c>
      <c r="H425" s="161"/>
      <c r="I425" s="149" t="s">
        <v>986</v>
      </c>
      <c r="J425" s="149" t="s">
        <v>1196</v>
      </c>
      <c r="K425" s="149">
        <v>0</v>
      </c>
      <c r="L425" s="161"/>
      <c r="M425" s="125"/>
      <c r="N425" s="125"/>
      <c r="O425" s="125"/>
    </row>
    <row r="426" spans="1:15" ht="9.9499999999999993" customHeight="1">
      <c r="A426" s="237"/>
      <c r="B426" s="237"/>
      <c r="C426" s="22">
        <v>417</v>
      </c>
      <c r="D426" s="125"/>
      <c r="E426" s="99" t="s">
        <v>1034</v>
      </c>
      <c r="F426" s="161"/>
      <c r="G426" s="192" t="s">
        <v>1036</v>
      </c>
      <c r="H426" s="161"/>
      <c r="I426" s="138" t="s">
        <v>1037</v>
      </c>
      <c r="J426" s="153" t="s">
        <v>1134</v>
      </c>
      <c r="K426" s="143">
        <v>18</v>
      </c>
      <c r="L426" s="161"/>
      <c r="M426" s="125"/>
      <c r="N426" s="125"/>
      <c r="O426" s="125"/>
    </row>
    <row r="427" spans="1:15" ht="9.9499999999999993" customHeight="1">
      <c r="A427" s="237"/>
      <c r="B427" s="237"/>
      <c r="C427" s="22">
        <v>418</v>
      </c>
      <c r="D427" s="125"/>
      <c r="E427" s="99" t="s">
        <v>1034</v>
      </c>
      <c r="F427" s="161"/>
      <c r="G427" s="192" t="s">
        <v>1039</v>
      </c>
      <c r="H427" s="161"/>
      <c r="I427" s="138" t="s">
        <v>1040</v>
      </c>
      <c r="J427" s="153" t="s">
        <v>1134</v>
      </c>
      <c r="K427" s="143">
        <v>18</v>
      </c>
      <c r="L427" s="161"/>
      <c r="M427" s="125"/>
      <c r="N427" s="125"/>
      <c r="O427" s="125"/>
    </row>
    <row r="428" spans="1:15" ht="9.9499999999999993" customHeight="1">
      <c r="A428" s="237"/>
      <c r="B428" s="237"/>
      <c r="C428" s="22">
        <v>419</v>
      </c>
      <c r="D428" s="125"/>
      <c r="E428" s="33" t="s">
        <v>503</v>
      </c>
      <c r="F428" s="161"/>
      <c r="G428" s="133" t="s">
        <v>505</v>
      </c>
      <c r="H428" s="161"/>
      <c r="I428" s="138" t="s">
        <v>708</v>
      </c>
      <c r="J428" s="153" t="s">
        <v>1196</v>
      </c>
      <c r="K428" s="129">
        <v>6</v>
      </c>
      <c r="L428" s="161"/>
      <c r="M428" s="125"/>
      <c r="N428" s="125"/>
      <c r="O428" s="125"/>
    </row>
    <row r="429" spans="1:15" ht="9.9499999999999993" customHeight="1">
      <c r="A429" s="237"/>
      <c r="B429" s="237"/>
      <c r="C429" s="22">
        <v>420</v>
      </c>
      <c r="D429" s="125"/>
      <c r="E429" s="45" t="s">
        <v>506</v>
      </c>
      <c r="F429" s="161"/>
      <c r="G429" s="133" t="s">
        <v>507</v>
      </c>
      <c r="H429" s="161"/>
      <c r="I429" s="132" t="s">
        <v>508</v>
      </c>
      <c r="J429" s="137" t="s">
        <v>509</v>
      </c>
      <c r="K429" s="138">
        <v>3</v>
      </c>
      <c r="L429" s="161"/>
      <c r="M429" s="125"/>
      <c r="N429" s="125"/>
      <c r="O429" s="125"/>
    </row>
    <row r="430" spans="1:15" ht="9.9499999999999993" customHeight="1">
      <c r="A430" s="237"/>
      <c r="B430" s="237"/>
      <c r="C430" s="22">
        <v>421</v>
      </c>
      <c r="D430" s="125"/>
      <c r="E430" s="45" t="s">
        <v>510</v>
      </c>
      <c r="F430" s="161"/>
      <c r="G430" s="133" t="s">
        <v>512</v>
      </c>
      <c r="H430" s="161"/>
      <c r="I430" s="138" t="s">
        <v>709</v>
      </c>
      <c r="J430" s="137" t="s">
        <v>1196</v>
      </c>
      <c r="K430" s="138">
        <v>3</v>
      </c>
      <c r="L430" s="161"/>
      <c r="M430" s="125"/>
      <c r="N430" s="125"/>
      <c r="O430" s="125"/>
    </row>
    <row r="431" spans="1:15" ht="9.9499999999999993" customHeight="1">
      <c r="A431" s="237"/>
      <c r="B431" s="237"/>
      <c r="C431" s="22">
        <v>422</v>
      </c>
      <c r="D431" s="125"/>
      <c r="E431" s="45" t="s">
        <v>1135</v>
      </c>
      <c r="F431" s="161"/>
      <c r="G431" s="133" t="s">
        <v>1135</v>
      </c>
      <c r="H431" s="161"/>
      <c r="I431" s="138" t="s">
        <v>1005</v>
      </c>
      <c r="J431" s="137" t="s">
        <v>1196</v>
      </c>
      <c r="K431" s="138">
        <v>21</v>
      </c>
      <c r="L431" s="161"/>
      <c r="M431" s="125"/>
      <c r="N431" s="125"/>
      <c r="O431" s="125"/>
    </row>
    <row r="432" spans="1:15" ht="9.9499999999999993" customHeight="1">
      <c r="A432" s="237"/>
      <c r="B432" s="237"/>
      <c r="C432" s="22">
        <v>423</v>
      </c>
      <c r="D432" s="125"/>
      <c r="E432" s="45" t="s">
        <v>932</v>
      </c>
      <c r="F432" s="161"/>
      <c r="G432" s="133" t="s">
        <v>933</v>
      </c>
      <c r="H432" s="161"/>
      <c r="I432" s="132" t="s">
        <v>879</v>
      </c>
      <c r="J432" s="137" t="s">
        <v>934</v>
      </c>
      <c r="K432" s="138">
        <v>24</v>
      </c>
      <c r="L432" s="161"/>
      <c r="M432" s="125"/>
      <c r="N432" s="125"/>
      <c r="O432" s="125"/>
    </row>
    <row r="433" spans="1:15" ht="9.9499999999999993" customHeight="1">
      <c r="A433" s="237"/>
      <c r="B433" s="237"/>
      <c r="C433" s="22">
        <v>424</v>
      </c>
      <c r="D433" s="125"/>
      <c r="E433" s="45" t="s">
        <v>932</v>
      </c>
      <c r="F433" s="161"/>
      <c r="G433" s="133" t="s">
        <v>1008</v>
      </c>
      <c r="H433" s="161"/>
      <c r="I433" s="132" t="s">
        <v>1009</v>
      </c>
      <c r="J433" s="137" t="s">
        <v>934</v>
      </c>
      <c r="K433" s="138">
        <v>0</v>
      </c>
      <c r="L433" s="161"/>
      <c r="M433" s="125"/>
      <c r="N433" s="125"/>
      <c r="O433" s="125"/>
    </row>
    <row r="434" spans="1:15" ht="9.9499999999999993" customHeight="1">
      <c r="A434" s="237"/>
      <c r="B434" s="237"/>
      <c r="C434" s="22">
        <v>425</v>
      </c>
      <c r="D434" s="125"/>
      <c r="E434" s="33" t="s">
        <v>932</v>
      </c>
      <c r="F434" s="161"/>
      <c r="G434" s="133" t="s">
        <v>513</v>
      </c>
      <c r="H434" s="161"/>
      <c r="I434" s="138" t="s">
        <v>711</v>
      </c>
      <c r="J434" s="129" t="s">
        <v>514</v>
      </c>
      <c r="K434" s="129">
        <v>2</v>
      </c>
      <c r="L434" s="161"/>
      <c r="M434" s="125"/>
      <c r="N434" s="125"/>
      <c r="O434" s="125"/>
    </row>
    <row r="435" spans="1:15" ht="9.9499999999999993" customHeight="1">
      <c r="A435" s="237"/>
      <c r="B435" s="237"/>
      <c r="C435" s="22">
        <v>426</v>
      </c>
      <c r="D435" s="125"/>
      <c r="E435" s="97" t="s">
        <v>935</v>
      </c>
      <c r="F435" s="161"/>
      <c r="G435" s="209" t="s">
        <v>936</v>
      </c>
      <c r="H435" s="161"/>
      <c r="I435" s="171" t="s">
        <v>886</v>
      </c>
      <c r="J435" s="137" t="s">
        <v>700</v>
      </c>
      <c r="K435" s="171">
        <v>0</v>
      </c>
      <c r="L435" s="161"/>
      <c r="M435" s="125"/>
      <c r="N435" s="125"/>
      <c r="O435" s="125"/>
    </row>
    <row r="436" spans="1:15" ht="9.9499999999999993" customHeight="1">
      <c r="A436" s="237"/>
      <c r="B436" s="237"/>
      <c r="C436" s="22">
        <v>427</v>
      </c>
      <c r="D436" s="125"/>
      <c r="E436" s="33" t="s">
        <v>937</v>
      </c>
      <c r="F436" s="161"/>
      <c r="G436" s="133" t="s">
        <v>938</v>
      </c>
      <c r="H436" s="161"/>
      <c r="I436" s="138" t="s">
        <v>887</v>
      </c>
      <c r="J436" s="137" t="s">
        <v>1134</v>
      </c>
      <c r="K436" s="129">
        <v>12</v>
      </c>
      <c r="L436" s="161"/>
      <c r="M436" s="125"/>
      <c r="N436" s="125"/>
      <c r="O436" s="125"/>
    </row>
    <row r="437" spans="1:15" ht="9.9499999999999993" customHeight="1">
      <c r="A437" s="237"/>
      <c r="B437" s="237"/>
      <c r="C437" s="22">
        <v>428</v>
      </c>
      <c r="D437" s="125"/>
      <c r="E437" s="86" t="s">
        <v>707</v>
      </c>
      <c r="F437" s="161"/>
      <c r="G437" s="201" t="s">
        <v>524</v>
      </c>
      <c r="H437" s="161"/>
      <c r="I437" s="162" t="s">
        <v>525</v>
      </c>
      <c r="J437" s="137" t="s">
        <v>526</v>
      </c>
      <c r="K437" s="171">
        <v>10</v>
      </c>
      <c r="L437" s="161"/>
      <c r="M437" s="125"/>
      <c r="N437" s="125"/>
      <c r="O437" s="125"/>
    </row>
    <row r="438" spans="1:15" ht="9.9499999999999993" customHeight="1">
      <c r="A438" s="237"/>
      <c r="B438" s="237"/>
      <c r="C438" s="22">
        <v>429</v>
      </c>
      <c r="D438" s="125"/>
      <c r="E438" s="86" t="s">
        <v>707</v>
      </c>
      <c r="F438" s="161"/>
      <c r="G438" s="201" t="s">
        <v>527</v>
      </c>
      <c r="H438" s="161"/>
      <c r="I438" s="162" t="s">
        <v>589</v>
      </c>
      <c r="J438" s="137" t="s">
        <v>526</v>
      </c>
      <c r="K438" s="171">
        <v>25</v>
      </c>
      <c r="L438" s="161"/>
      <c r="M438" s="125"/>
      <c r="N438" s="125"/>
      <c r="O438" s="125"/>
    </row>
    <row r="439" spans="1:15" ht="9.9499999999999993" customHeight="1">
      <c r="A439" s="237"/>
      <c r="B439" s="237"/>
      <c r="C439" s="22">
        <v>430</v>
      </c>
      <c r="D439" s="125"/>
      <c r="E439" s="33" t="s">
        <v>707</v>
      </c>
      <c r="F439" s="161"/>
      <c r="G439" s="133" t="s">
        <v>529</v>
      </c>
      <c r="H439" s="161"/>
      <c r="I439" s="138" t="s">
        <v>590</v>
      </c>
      <c r="J439" s="153" t="s">
        <v>530</v>
      </c>
      <c r="K439" s="129">
        <v>10</v>
      </c>
      <c r="L439" s="161"/>
      <c r="M439" s="125"/>
      <c r="N439" s="125"/>
      <c r="O439" s="125"/>
    </row>
    <row r="440" spans="1:15" ht="9.9499999999999993" customHeight="1">
      <c r="A440" s="237"/>
      <c r="B440" s="237"/>
      <c r="C440" s="22">
        <v>431</v>
      </c>
      <c r="D440" s="125"/>
      <c r="E440" s="86" t="s">
        <v>531</v>
      </c>
      <c r="F440" s="161"/>
      <c r="G440" s="201"/>
      <c r="H440" s="161"/>
      <c r="I440" s="206" t="s">
        <v>532</v>
      </c>
      <c r="J440" s="137" t="s">
        <v>1196</v>
      </c>
      <c r="K440" s="171">
        <v>11</v>
      </c>
      <c r="L440" s="161"/>
      <c r="M440" s="125"/>
      <c r="N440" s="125"/>
      <c r="O440" s="125"/>
    </row>
    <row r="441" spans="1:15" ht="9.9499999999999993" customHeight="1">
      <c r="A441" s="237"/>
      <c r="B441" s="237"/>
      <c r="C441" s="22">
        <v>432</v>
      </c>
      <c r="D441" s="125"/>
      <c r="E441" s="45" t="s">
        <v>873</v>
      </c>
      <c r="F441" s="161"/>
      <c r="G441" s="136" t="s">
        <v>535</v>
      </c>
      <c r="H441" s="161"/>
      <c r="I441" s="138" t="s">
        <v>581</v>
      </c>
      <c r="J441" s="137" t="s">
        <v>414</v>
      </c>
      <c r="K441" s="138">
        <v>13</v>
      </c>
      <c r="L441" s="161"/>
      <c r="M441" s="125"/>
      <c r="N441" s="125"/>
      <c r="O441" s="125"/>
    </row>
    <row r="442" spans="1:15" ht="9.9499999999999993" customHeight="1">
      <c r="A442" s="237"/>
      <c r="B442" s="237"/>
      <c r="C442" s="22">
        <v>433</v>
      </c>
      <c r="D442" s="125"/>
      <c r="E442" s="45" t="s">
        <v>718</v>
      </c>
      <c r="F442" s="161"/>
      <c r="G442" s="136" t="s">
        <v>720</v>
      </c>
      <c r="H442" s="161"/>
      <c r="I442" s="138" t="s">
        <v>721</v>
      </c>
      <c r="J442" s="137" t="s">
        <v>700</v>
      </c>
      <c r="K442" s="138">
        <v>4</v>
      </c>
      <c r="L442" s="161"/>
      <c r="M442" s="125"/>
      <c r="N442" s="125"/>
      <c r="O442" s="125"/>
    </row>
    <row r="443" spans="1:15" ht="9.9499999999999993" customHeight="1">
      <c r="A443" s="237"/>
      <c r="B443" s="237"/>
      <c r="C443" s="22">
        <v>434</v>
      </c>
      <c r="D443" s="125"/>
      <c r="E443" s="75" t="s">
        <v>545</v>
      </c>
      <c r="F443" s="161"/>
      <c r="G443" s="131" t="s">
        <v>833</v>
      </c>
      <c r="H443" s="161"/>
      <c r="I443" s="132" t="s">
        <v>834</v>
      </c>
      <c r="J443" s="153" t="s">
        <v>930</v>
      </c>
      <c r="K443" s="138">
        <v>6</v>
      </c>
      <c r="L443" s="161"/>
      <c r="M443" s="125"/>
      <c r="N443" s="125"/>
      <c r="O443" s="125"/>
    </row>
    <row r="444" spans="1:15" ht="9.9499999999999993" customHeight="1">
      <c r="A444" s="237"/>
      <c r="B444" s="237"/>
      <c r="C444" s="22">
        <v>435</v>
      </c>
      <c r="D444" s="125"/>
      <c r="E444" s="45" t="s">
        <v>729</v>
      </c>
      <c r="F444" s="161"/>
      <c r="G444" s="136" t="s">
        <v>546</v>
      </c>
      <c r="H444" s="161"/>
      <c r="I444" s="132" t="s">
        <v>591</v>
      </c>
      <c r="J444" s="137" t="s">
        <v>137</v>
      </c>
      <c r="K444" s="138">
        <v>140</v>
      </c>
      <c r="L444" s="161"/>
      <c r="M444" s="125"/>
      <c r="N444" s="125"/>
      <c r="O444" s="125"/>
    </row>
    <row r="445" spans="1:15" ht="9.9499999999999993" customHeight="1">
      <c r="A445" s="237"/>
      <c r="B445" s="237"/>
      <c r="C445" s="22">
        <v>436</v>
      </c>
      <c r="D445" s="125"/>
      <c r="E445" s="75" t="s">
        <v>1181</v>
      </c>
      <c r="F445" s="161"/>
      <c r="G445" s="131" t="s">
        <v>558</v>
      </c>
      <c r="H445" s="161"/>
      <c r="I445" s="132"/>
      <c r="J445" s="137" t="s">
        <v>1043</v>
      </c>
      <c r="K445" s="138">
        <v>27</v>
      </c>
      <c r="L445" s="161"/>
      <c r="M445" s="125"/>
      <c r="N445" s="125"/>
      <c r="O445" s="125"/>
    </row>
    <row r="446" spans="1:15" ht="9.9499999999999993" customHeight="1">
      <c r="A446" s="237"/>
      <c r="B446" s="237"/>
      <c r="C446" s="22">
        <v>437</v>
      </c>
      <c r="D446" s="125"/>
      <c r="E446" s="45" t="s">
        <v>729</v>
      </c>
      <c r="F446" s="125"/>
      <c r="G446" s="45" t="s">
        <v>547</v>
      </c>
      <c r="H446" s="125"/>
      <c r="I446" s="42"/>
      <c r="J446" s="46" t="s">
        <v>940</v>
      </c>
      <c r="K446" s="31">
        <v>16</v>
      </c>
      <c r="L446" s="125"/>
      <c r="M446" s="125"/>
      <c r="N446" s="125"/>
      <c r="O446" s="125"/>
    </row>
    <row r="447" spans="1:15" ht="9.9499999999999993" customHeight="1">
      <c r="A447" s="237"/>
      <c r="B447" s="237"/>
      <c r="C447" s="22">
        <v>438</v>
      </c>
      <c r="D447" s="125"/>
      <c r="E447" s="45" t="s">
        <v>730</v>
      </c>
      <c r="F447" s="125"/>
      <c r="G447" s="45" t="s">
        <v>549</v>
      </c>
      <c r="H447" s="125"/>
      <c r="I447" s="42"/>
      <c r="J447" s="46" t="s">
        <v>940</v>
      </c>
      <c r="K447" s="31">
        <v>16</v>
      </c>
      <c r="L447" s="125"/>
      <c r="M447" s="125"/>
      <c r="N447" s="125"/>
      <c r="O447" s="125"/>
    </row>
    <row r="448" spans="1:15" ht="9.9499999999999993" customHeight="1">
      <c r="A448" s="237"/>
      <c r="B448" s="237"/>
      <c r="C448" s="22">
        <v>439</v>
      </c>
      <c r="D448" s="125"/>
      <c r="E448" s="86" t="s">
        <v>731</v>
      </c>
      <c r="F448" s="125"/>
      <c r="G448" s="86" t="s">
        <v>549</v>
      </c>
      <c r="H448" s="125"/>
      <c r="I448" s="69"/>
      <c r="J448" s="46" t="s">
        <v>940</v>
      </c>
      <c r="K448" s="73">
        <v>16</v>
      </c>
      <c r="L448" s="125"/>
      <c r="M448" s="125"/>
      <c r="N448" s="125"/>
      <c r="O448" s="125"/>
    </row>
    <row r="449" spans="1:15" ht="9.9499999999999993" customHeight="1">
      <c r="A449" s="238"/>
      <c r="B449" s="238"/>
      <c r="C449" s="22">
        <v>440</v>
      </c>
      <c r="D449" s="125"/>
      <c r="E449" s="86" t="s">
        <v>1177</v>
      </c>
      <c r="F449" s="125"/>
      <c r="G449" s="86" t="s">
        <v>552</v>
      </c>
      <c r="H449" s="125"/>
      <c r="I449" s="69"/>
      <c r="J449" s="46" t="s">
        <v>1179</v>
      </c>
      <c r="K449" s="73">
        <v>1</v>
      </c>
      <c r="L449" s="125"/>
      <c r="M449" s="125"/>
      <c r="N449" s="125"/>
      <c r="O449" s="125"/>
    </row>
  </sheetData>
  <mergeCells count="27">
    <mergeCell ref="D6:D9"/>
    <mergeCell ref="A10:A449"/>
    <mergeCell ref="B10:B449"/>
    <mergeCell ref="M4:N5"/>
    <mergeCell ref="O4:O5"/>
    <mergeCell ref="K4:L4"/>
    <mergeCell ref="K5:L5"/>
    <mergeCell ref="A8:A9"/>
    <mergeCell ref="A6:C7"/>
    <mergeCell ref="E6:E9"/>
    <mergeCell ref="L8:L9"/>
    <mergeCell ref="A1:O3"/>
    <mergeCell ref="A4:C4"/>
    <mergeCell ref="A5:C5"/>
    <mergeCell ref="B8:B9"/>
    <mergeCell ref="C8:C9"/>
    <mergeCell ref="M8:M9"/>
    <mergeCell ref="N8:N9"/>
    <mergeCell ref="H6:H9"/>
    <mergeCell ref="I6:I9"/>
    <mergeCell ref="G6:G9"/>
    <mergeCell ref="O6:O9"/>
    <mergeCell ref="F6:F9"/>
    <mergeCell ref="K8:K9"/>
    <mergeCell ref="J6:J9"/>
    <mergeCell ref="M6:N7"/>
    <mergeCell ref="K6:L7"/>
  </mergeCells>
  <phoneticPr fontId="8" type="noConversion"/>
  <pageMargins left="0.55118110236220474" right="0.55118110236220474" top="0.59055118110236227" bottom="0.5" header="0.31496062992125984" footer="0.32"/>
  <pageSetup paperSize="8" scale="66" orientation="portrait" r:id="rId1"/>
  <headerFooter alignWithMargins="0">
    <oddFooter>&amp;L양식AQS-T0101-04(RO)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50"/>
  <sheetViews>
    <sheetView topLeftCell="A423" workbookViewId="0">
      <selection activeCell="H7" sqref="H7:H446"/>
    </sheetView>
  </sheetViews>
  <sheetFormatPr defaultRowHeight="13.5"/>
  <cols>
    <col min="1" max="1" width="5.21875" bestFit="1" customWidth="1"/>
    <col min="2" max="2" width="27.77734375" style="30" bestFit="1" customWidth="1"/>
    <col min="3" max="3" width="15.109375" hidden="1" customWidth="1"/>
    <col min="4" max="4" width="29.21875" style="30" bestFit="1" customWidth="1"/>
    <col min="5" max="5" width="11.5546875" hidden="1" customWidth="1"/>
    <col min="6" max="6" width="11.77734375" customWidth="1"/>
    <col min="7" max="7" width="12.5546875" customWidth="1"/>
    <col min="8" max="8" width="8.6640625" customWidth="1"/>
    <col min="9" max="9" width="8.6640625" style="24" customWidth="1"/>
    <col min="10" max="10" width="10" style="24" customWidth="1"/>
    <col min="11" max="11" width="15.44140625" style="24" bestFit="1" customWidth="1"/>
    <col min="12" max="12" width="5.109375" customWidth="1"/>
    <col min="14" max="14" width="9" hidden="1" customWidth="1"/>
  </cols>
  <sheetData>
    <row r="1" spans="1:14" ht="14.25">
      <c r="A1" s="251" t="s">
        <v>562</v>
      </c>
      <c r="B1" s="252"/>
      <c r="C1" s="252"/>
      <c r="D1" s="253" t="s">
        <v>1079</v>
      </c>
      <c r="E1" s="254"/>
      <c r="F1" s="254"/>
      <c r="G1" s="254"/>
      <c r="H1" s="254"/>
      <c r="I1" s="254"/>
      <c r="J1" s="254"/>
      <c r="K1" s="254"/>
      <c r="L1" s="255"/>
    </row>
    <row r="2" spans="1:14" ht="14.25">
      <c r="A2" s="259" t="s">
        <v>924</v>
      </c>
      <c r="B2" s="260"/>
      <c r="C2" s="260"/>
      <c r="D2" s="256"/>
      <c r="E2" s="257"/>
      <c r="F2" s="257"/>
      <c r="G2" s="257"/>
      <c r="H2" s="257"/>
      <c r="I2" s="257"/>
      <c r="J2" s="257"/>
      <c r="K2" s="257"/>
      <c r="L2" s="258"/>
    </row>
    <row r="3" spans="1:14" ht="14.25">
      <c r="A3" s="261" t="s">
        <v>563</v>
      </c>
      <c r="B3" s="262"/>
      <c r="C3" s="262"/>
      <c r="D3" s="256"/>
      <c r="E3" s="257"/>
      <c r="F3" s="257"/>
      <c r="G3" s="257"/>
      <c r="H3" s="257"/>
      <c r="I3" s="257"/>
      <c r="J3" s="257"/>
      <c r="K3" s="257"/>
      <c r="L3" s="258"/>
    </row>
    <row r="4" spans="1:14" ht="14.25">
      <c r="A4" s="259" t="s">
        <v>57</v>
      </c>
      <c r="B4" s="260"/>
      <c r="C4" s="260"/>
      <c r="D4" s="267" t="s">
        <v>564</v>
      </c>
      <c r="E4" s="268"/>
      <c r="F4" s="268"/>
      <c r="G4" s="9"/>
      <c r="H4" s="29" t="s">
        <v>1251</v>
      </c>
      <c r="I4" s="26" t="s">
        <v>1252</v>
      </c>
      <c r="J4" s="27" t="s">
        <v>1253</v>
      </c>
      <c r="K4" s="28" t="s">
        <v>1254</v>
      </c>
      <c r="L4" s="25"/>
    </row>
    <row r="5" spans="1:14">
      <c r="A5" s="269" t="s">
        <v>1093</v>
      </c>
      <c r="B5" s="250" t="s">
        <v>1094</v>
      </c>
      <c r="C5" s="249" t="s">
        <v>1095</v>
      </c>
      <c r="D5" s="250" t="s">
        <v>1096</v>
      </c>
      <c r="E5" s="249" t="s">
        <v>1097</v>
      </c>
      <c r="F5" s="249" t="s">
        <v>1098</v>
      </c>
      <c r="G5" s="249" t="s">
        <v>1076</v>
      </c>
      <c r="H5" s="249" t="s">
        <v>1077</v>
      </c>
      <c r="I5" s="263" t="s">
        <v>224</v>
      </c>
      <c r="J5" s="263" t="s">
        <v>1249</v>
      </c>
      <c r="K5" s="263" t="s">
        <v>1250</v>
      </c>
      <c r="L5" s="265" t="s">
        <v>1078</v>
      </c>
    </row>
    <row r="6" spans="1:14">
      <c r="A6" s="270"/>
      <c r="B6" s="271"/>
      <c r="C6" s="250"/>
      <c r="D6" s="271"/>
      <c r="E6" s="250"/>
      <c r="F6" s="250"/>
      <c r="G6" s="250"/>
      <c r="H6" s="250"/>
      <c r="I6" s="264"/>
      <c r="J6" s="264"/>
      <c r="K6" s="264"/>
      <c r="L6" s="266"/>
    </row>
    <row r="7" spans="1:14" s="39" customFormat="1">
      <c r="A7" s="31">
        <v>1</v>
      </c>
      <c r="B7" s="33" t="s">
        <v>1170</v>
      </c>
      <c r="C7" s="32" t="s">
        <v>1172</v>
      </c>
      <c r="D7" s="33" t="s">
        <v>1000</v>
      </c>
      <c r="E7" s="34"/>
      <c r="F7" s="35" t="s">
        <v>1001</v>
      </c>
      <c r="G7" s="32" t="s">
        <v>1174</v>
      </c>
      <c r="H7" s="32">
        <v>9</v>
      </c>
      <c r="I7" s="36">
        <v>435</v>
      </c>
      <c r="J7" s="37">
        <v>472888.49999999994</v>
      </c>
      <c r="K7" s="37">
        <f>H7*J7</f>
        <v>4255996.4999999991</v>
      </c>
      <c r="L7" s="38"/>
      <c r="N7" s="40">
        <v>1087.0999999999999</v>
      </c>
    </row>
    <row r="8" spans="1:14" s="39" customFormat="1">
      <c r="A8" s="31">
        <v>2</v>
      </c>
      <c r="B8" s="33" t="s">
        <v>559</v>
      </c>
      <c r="C8" s="32" t="s">
        <v>560</v>
      </c>
      <c r="D8" s="41" t="s">
        <v>612</v>
      </c>
      <c r="E8" s="34"/>
      <c r="F8" s="42" t="s">
        <v>613</v>
      </c>
      <c r="G8" s="32" t="s">
        <v>561</v>
      </c>
      <c r="H8" s="32">
        <v>12</v>
      </c>
      <c r="I8" s="36">
        <v>326</v>
      </c>
      <c r="J8" s="37">
        <v>354394.6</v>
      </c>
      <c r="K8" s="37">
        <f t="shared" ref="K8:K71" si="0">H8*J8</f>
        <v>4252735.1999999993</v>
      </c>
      <c r="L8" s="38"/>
      <c r="N8" s="40">
        <v>1087.0999999999999</v>
      </c>
    </row>
    <row r="9" spans="1:14" s="39" customFormat="1">
      <c r="A9" s="31">
        <v>3</v>
      </c>
      <c r="B9" s="33" t="s">
        <v>1125</v>
      </c>
      <c r="C9" s="32" t="s">
        <v>5</v>
      </c>
      <c r="D9" s="41" t="s">
        <v>1207</v>
      </c>
      <c r="E9" s="34"/>
      <c r="F9" s="42" t="s">
        <v>1248</v>
      </c>
      <c r="G9" s="32" t="s">
        <v>102</v>
      </c>
      <c r="H9" s="32">
        <v>4</v>
      </c>
      <c r="I9" s="36">
        <v>288</v>
      </c>
      <c r="J9" s="37">
        <v>313084.79999999999</v>
      </c>
      <c r="K9" s="37">
        <f t="shared" si="0"/>
        <v>1252339.2</v>
      </c>
      <c r="L9" s="38"/>
      <c r="N9" s="40">
        <v>1087.0999999999999</v>
      </c>
    </row>
    <row r="10" spans="1:14" s="39" customFormat="1">
      <c r="A10" s="31">
        <v>4</v>
      </c>
      <c r="B10" s="33" t="s">
        <v>1125</v>
      </c>
      <c r="C10" s="32" t="s">
        <v>237</v>
      </c>
      <c r="D10" s="43" t="s">
        <v>238</v>
      </c>
      <c r="E10" s="34"/>
      <c r="F10" s="32" t="s">
        <v>1256</v>
      </c>
      <c r="G10" s="32" t="s">
        <v>102</v>
      </c>
      <c r="H10" s="32">
        <v>6</v>
      </c>
      <c r="I10" s="36">
        <v>599</v>
      </c>
      <c r="J10" s="37">
        <v>651172.89999999991</v>
      </c>
      <c r="K10" s="37">
        <f t="shared" si="0"/>
        <v>3907037.3999999994</v>
      </c>
      <c r="L10" s="38"/>
      <c r="N10" s="40">
        <v>1087.0999999999999</v>
      </c>
    </row>
    <row r="11" spans="1:14" s="39" customFormat="1">
      <c r="A11" s="31">
        <v>5</v>
      </c>
      <c r="B11" s="33" t="s">
        <v>1125</v>
      </c>
      <c r="C11" s="32" t="s">
        <v>239</v>
      </c>
      <c r="D11" s="43" t="s">
        <v>240</v>
      </c>
      <c r="E11" s="34"/>
      <c r="F11" s="32" t="s">
        <v>241</v>
      </c>
      <c r="G11" s="32" t="s">
        <v>102</v>
      </c>
      <c r="H11" s="32">
        <v>69</v>
      </c>
      <c r="I11" s="36">
        <v>497</v>
      </c>
      <c r="J11" s="37">
        <v>540288.69999999995</v>
      </c>
      <c r="K11" s="37">
        <f t="shared" si="0"/>
        <v>37279920.299999997</v>
      </c>
      <c r="L11" s="38"/>
      <c r="N11" s="40">
        <v>1087.0999999999999</v>
      </c>
    </row>
    <row r="12" spans="1:14" s="39" customFormat="1">
      <c r="A12" s="31">
        <v>6</v>
      </c>
      <c r="B12" s="33" t="s">
        <v>1125</v>
      </c>
      <c r="C12" s="32" t="s">
        <v>5</v>
      </c>
      <c r="D12" s="43" t="s">
        <v>854</v>
      </c>
      <c r="E12" s="34"/>
      <c r="F12" s="32" t="s">
        <v>855</v>
      </c>
      <c r="G12" s="32" t="s">
        <v>102</v>
      </c>
      <c r="H12" s="32">
        <v>4</v>
      </c>
      <c r="I12" s="36">
        <v>314</v>
      </c>
      <c r="J12" s="37">
        <v>341349.39999999997</v>
      </c>
      <c r="K12" s="37">
        <f t="shared" si="0"/>
        <v>1365397.5999999999</v>
      </c>
      <c r="L12" s="38"/>
      <c r="N12" s="40">
        <v>1087.0999999999999</v>
      </c>
    </row>
    <row r="13" spans="1:14" s="39" customFormat="1">
      <c r="A13" s="31">
        <v>7</v>
      </c>
      <c r="B13" s="33" t="s">
        <v>1125</v>
      </c>
      <c r="C13" s="32" t="s">
        <v>1157</v>
      </c>
      <c r="D13" s="43" t="s">
        <v>242</v>
      </c>
      <c r="E13" s="34"/>
      <c r="F13" s="32" t="s">
        <v>142</v>
      </c>
      <c r="G13" s="32" t="s">
        <v>1156</v>
      </c>
      <c r="H13" s="32">
        <v>6</v>
      </c>
      <c r="I13" s="36">
        <v>411</v>
      </c>
      <c r="J13" s="37">
        <v>446798.1</v>
      </c>
      <c r="K13" s="37">
        <f t="shared" si="0"/>
        <v>2680788.5999999996</v>
      </c>
      <c r="L13" s="38"/>
      <c r="N13" s="40">
        <v>1087.0999999999999</v>
      </c>
    </row>
    <row r="14" spans="1:14" s="39" customFormat="1">
      <c r="A14" s="31">
        <v>8</v>
      </c>
      <c r="B14" s="33" t="s">
        <v>1125</v>
      </c>
      <c r="C14" s="32" t="s">
        <v>851</v>
      </c>
      <c r="D14" s="33" t="s">
        <v>852</v>
      </c>
      <c r="E14" s="34"/>
      <c r="F14" s="35" t="s">
        <v>853</v>
      </c>
      <c r="G14" s="32" t="s">
        <v>102</v>
      </c>
      <c r="H14" s="32">
        <v>20</v>
      </c>
      <c r="I14" s="36">
        <v>370</v>
      </c>
      <c r="J14" s="37">
        <v>402226.99999999994</v>
      </c>
      <c r="K14" s="37">
        <f t="shared" si="0"/>
        <v>8044539.9999999991</v>
      </c>
      <c r="L14" s="38"/>
      <c r="N14" s="40">
        <v>1087.0999999999999</v>
      </c>
    </row>
    <row r="15" spans="1:14" s="39" customFormat="1">
      <c r="A15" s="31">
        <v>9</v>
      </c>
      <c r="B15" s="45" t="s">
        <v>543</v>
      </c>
      <c r="C15" s="44"/>
      <c r="D15" s="45" t="s">
        <v>544</v>
      </c>
      <c r="E15" s="31"/>
      <c r="F15" s="42" t="s">
        <v>715</v>
      </c>
      <c r="G15" s="46" t="s">
        <v>716</v>
      </c>
      <c r="H15" s="31">
        <v>4</v>
      </c>
      <c r="I15" s="47">
        <v>72800</v>
      </c>
      <c r="J15" s="48">
        <v>989694.15999999992</v>
      </c>
      <c r="K15" s="37">
        <f t="shared" si="0"/>
        <v>3958776.6399999997</v>
      </c>
      <c r="L15" s="38"/>
      <c r="N15" s="40">
        <v>13.5947</v>
      </c>
    </row>
    <row r="16" spans="1:14" s="39" customFormat="1">
      <c r="A16" s="31">
        <v>10</v>
      </c>
      <c r="B16" s="50" t="s">
        <v>898</v>
      </c>
      <c r="C16" s="49" t="s">
        <v>899</v>
      </c>
      <c r="D16" s="50" t="s">
        <v>900</v>
      </c>
      <c r="E16" s="51"/>
      <c r="F16" s="49" t="s">
        <v>901</v>
      </c>
      <c r="G16" s="49" t="s">
        <v>902</v>
      </c>
      <c r="H16" s="49">
        <v>5</v>
      </c>
      <c r="I16" s="52">
        <v>17000</v>
      </c>
      <c r="J16" s="48">
        <v>231109.9</v>
      </c>
      <c r="K16" s="37">
        <f t="shared" si="0"/>
        <v>1155549.5</v>
      </c>
      <c r="L16" s="38"/>
      <c r="N16" s="40">
        <v>13.5947</v>
      </c>
    </row>
    <row r="17" spans="1:14" s="39" customFormat="1">
      <c r="A17" s="31">
        <v>11</v>
      </c>
      <c r="B17" s="33" t="s">
        <v>873</v>
      </c>
      <c r="C17" s="32"/>
      <c r="D17" s="43" t="s">
        <v>952</v>
      </c>
      <c r="E17" s="34"/>
      <c r="F17" s="31" t="s">
        <v>1243</v>
      </c>
      <c r="G17" s="32" t="s">
        <v>876</v>
      </c>
      <c r="H17" s="32">
        <v>1630</v>
      </c>
      <c r="I17" s="52">
        <v>105</v>
      </c>
      <c r="J17" s="48">
        <v>1427.4434999999999</v>
      </c>
      <c r="K17" s="37">
        <f t="shared" si="0"/>
        <v>2326732.9049999998</v>
      </c>
      <c r="L17" s="38"/>
      <c r="N17" s="40">
        <v>13.5947</v>
      </c>
    </row>
    <row r="18" spans="1:14" s="39" customFormat="1">
      <c r="A18" s="31">
        <v>12</v>
      </c>
      <c r="B18" s="99" t="s">
        <v>873</v>
      </c>
      <c r="C18" s="54"/>
      <c r="D18" s="55" t="s">
        <v>953</v>
      </c>
      <c r="E18" s="54"/>
      <c r="F18" s="56" t="s">
        <v>1244</v>
      </c>
      <c r="G18" s="46" t="s">
        <v>876</v>
      </c>
      <c r="H18" s="54">
        <v>1225</v>
      </c>
      <c r="I18" s="47">
        <v>150</v>
      </c>
      <c r="J18" s="48">
        <v>2039.2049999999999</v>
      </c>
      <c r="K18" s="37">
        <f t="shared" si="0"/>
        <v>2498026.125</v>
      </c>
      <c r="L18" s="38"/>
      <c r="N18" s="40">
        <v>13.5947</v>
      </c>
    </row>
    <row r="19" spans="1:14" s="39" customFormat="1">
      <c r="A19" s="31">
        <v>13</v>
      </c>
      <c r="B19" s="33" t="s">
        <v>922</v>
      </c>
      <c r="C19" s="32" t="s">
        <v>248</v>
      </c>
      <c r="D19" s="33" t="s">
        <v>1160</v>
      </c>
      <c r="E19" s="34"/>
      <c r="F19" s="35" t="s">
        <v>893</v>
      </c>
      <c r="G19" s="32" t="s">
        <v>895</v>
      </c>
      <c r="H19" s="32">
        <v>68</v>
      </c>
      <c r="I19" s="52">
        <v>8177</v>
      </c>
      <c r="J19" s="48">
        <v>111163.8619</v>
      </c>
      <c r="K19" s="37">
        <f t="shared" si="0"/>
        <v>7559142.6091999998</v>
      </c>
      <c r="L19" s="38"/>
      <c r="N19" s="40">
        <v>13.5947</v>
      </c>
    </row>
    <row r="20" spans="1:14" s="39" customFormat="1">
      <c r="A20" s="31">
        <v>14</v>
      </c>
      <c r="B20" s="33" t="s">
        <v>159</v>
      </c>
      <c r="C20" s="32" t="s">
        <v>160</v>
      </c>
      <c r="D20" s="43" t="s">
        <v>161</v>
      </c>
      <c r="E20" s="34"/>
      <c r="F20" s="32" t="s">
        <v>162</v>
      </c>
      <c r="G20" s="32" t="s">
        <v>895</v>
      </c>
      <c r="H20" s="32">
        <v>2</v>
      </c>
      <c r="I20" s="52">
        <v>10243</v>
      </c>
      <c r="J20" s="48">
        <v>139250.51209999999</v>
      </c>
      <c r="K20" s="37">
        <f t="shared" si="0"/>
        <v>278501.02419999999</v>
      </c>
      <c r="L20" s="38"/>
      <c r="N20" s="40">
        <v>13.5947</v>
      </c>
    </row>
    <row r="21" spans="1:14" s="39" customFormat="1">
      <c r="A21" s="31">
        <v>15</v>
      </c>
      <c r="B21" s="33" t="s">
        <v>922</v>
      </c>
      <c r="C21" s="32" t="s">
        <v>249</v>
      </c>
      <c r="D21" s="43" t="s">
        <v>250</v>
      </c>
      <c r="E21" s="34"/>
      <c r="F21" s="31" t="s">
        <v>675</v>
      </c>
      <c r="G21" s="32" t="s">
        <v>895</v>
      </c>
      <c r="H21" s="32">
        <v>6</v>
      </c>
      <c r="I21" s="52">
        <v>6916</v>
      </c>
      <c r="J21" s="48">
        <v>94020.945200000002</v>
      </c>
      <c r="K21" s="37">
        <f t="shared" si="0"/>
        <v>564125.67119999998</v>
      </c>
      <c r="L21" s="38"/>
      <c r="N21" s="40">
        <v>13.5947</v>
      </c>
    </row>
    <row r="22" spans="1:14" s="39" customFormat="1">
      <c r="A22" s="31">
        <v>16</v>
      </c>
      <c r="B22" s="33" t="s">
        <v>922</v>
      </c>
      <c r="C22" s="32" t="s">
        <v>128</v>
      </c>
      <c r="D22" s="41" t="s">
        <v>1161</v>
      </c>
      <c r="E22" s="34"/>
      <c r="F22" s="32" t="s">
        <v>913</v>
      </c>
      <c r="G22" s="32" t="s">
        <v>895</v>
      </c>
      <c r="H22" s="32">
        <v>52</v>
      </c>
      <c r="I22" s="52">
        <v>7391</v>
      </c>
      <c r="J22" s="48">
        <v>100478.4277</v>
      </c>
      <c r="K22" s="37">
        <f t="shared" si="0"/>
        <v>5224878.2403999995</v>
      </c>
      <c r="L22" s="38"/>
      <c r="N22" s="40">
        <v>13.5947</v>
      </c>
    </row>
    <row r="23" spans="1:14" s="39" customFormat="1">
      <c r="A23" s="31">
        <v>17</v>
      </c>
      <c r="B23" s="33" t="s">
        <v>922</v>
      </c>
      <c r="C23" s="32" t="s">
        <v>153</v>
      </c>
      <c r="D23" s="41" t="s">
        <v>154</v>
      </c>
      <c r="E23" s="34"/>
      <c r="F23" s="32" t="s">
        <v>155</v>
      </c>
      <c r="G23" s="32" t="s">
        <v>895</v>
      </c>
      <c r="H23" s="32">
        <v>2</v>
      </c>
      <c r="I23" s="52">
        <v>6994</v>
      </c>
      <c r="J23" s="48">
        <v>95081.3318</v>
      </c>
      <c r="K23" s="37">
        <f t="shared" si="0"/>
        <v>190162.6636</v>
      </c>
      <c r="L23" s="38"/>
      <c r="N23" s="40">
        <v>13.5947</v>
      </c>
    </row>
    <row r="24" spans="1:14" s="39" customFormat="1">
      <c r="A24" s="31">
        <v>18</v>
      </c>
      <c r="B24" s="108" t="s">
        <v>922</v>
      </c>
      <c r="C24" s="57" t="s">
        <v>97</v>
      </c>
      <c r="D24" s="41" t="s">
        <v>98</v>
      </c>
      <c r="E24" s="58"/>
      <c r="F24" s="57" t="s">
        <v>93</v>
      </c>
      <c r="G24" s="57" t="s">
        <v>895</v>
      </c>
      <c r="H24" s="57">
        <v>8</v>
      </c>
      <c r="I24" s="52">
        <v>8943</v>
      </c>
      <c r="J24" s="48">
        <v>121577.40209999999</v>
      </c>
      <c r="K24" s="37">
        <f t="shared" si="0"/>
        <v>972619.21679999994</v>
      </c>
      <c r="L24" s="38"/>
      <c r="N24" s="40">
        <v>13.5947</v>
      </c>
    </row>
    <row r="25" spans="1:14" s="39" customFormat="1">
      <c r="A25" s="31">
        <v>19</v>
      </c>
      <c r="B25" s="108" t="s">
        <v>922</v>
      </c>
      <c r="C25" s="57" t="s">
        <v>870</v>
      </c>
      <c r="D25" s="41" t="s">
        <v>13</v>
      </c>
      <c r="E25" s="58"/>
      <c r="F25" s="57" t="s">
        <v>909</v>
      </c>
      <c r="G25" s="57" t="s">
        <v>895</v>
      </c>
      <c r="H25" s="57">
        <v>60</v>
      </c>
      <c r="I25" s="52">
        <v>11155</v>
      </c>
      <c r="J25" s="48">
        <v>151648.87849999999</v>
      </c>
      <c r="K25" s="37">
        <f t="shared" si="0"/>
        <v>9098932.709999999</v>
      </c>
      <c r="L25" s="38"/>
      <c r="N25" s="40">
        <v>13.5947</v>
      </c>
    </row>
    <row r="26" spans="1:14" s="39" customFormat="1">
      <c r="A26" s="31">
        <v>20</v>
      </c>
      <c r="B26" s="33" t="s">
        <v>922</v>
      </c>
      <c r="C26" s="32" t="s">
        <v>251</v>
      </c>
      <c r="D26" s="43" t="s">
        <v>151</v>
      </c>
      <c r="E26" s="34"/>
      <c r="F26" s="31" t="s">
        <v>152</v>
      </c>
      <c r="G26" s="32" t="s">
        <v>895</v>
      </c>
      <c r="H26" s="32">
        <v>14</v>
      </c>
      <c r="I26" s="52">
        <v>11737</v>
      </c>
      <c r="J26" s="48">
        <v>159560.9939</v>
      </c>
      <c r="K26" s="37">
        <f t="shared" si="0"/>
        <v>2233853.9145999998</v>
      </c>
      <c r="L26" s="38"/>
      <c r="N26" s="40">
        <v>13.5947</v>
      </c>
    </row>
    <row r="27" spans="1:14" s="39" customFormat="1">
      <c r="A27" s="31">
        <v>21</v>
      </c>
      <c r="B27" s="33" t="s">
        <v>890</v>
      </c>
      <c r="C27" s="32" t="s">
        <v>127</v>
      </c>
      <c r="D27" s="43" t="s">
        <v>1162</v>
      </c>
      <c r="E27" s="32"/>
      <c r="F27" s="31" t="s">
        <v>919</v>
      </c>
      <c r="G27" s="59" t="s">
        <v>895</v>
      </c>
      <c r="H27" s="32">
        <v>87</v>
      </c>
      <c r="I27" s="52">
        <v>8798</v>
      </c>
      <c r="J27" s="48">
        <v>119606.1706</v>
      </c>
      <c r="K27" s="37">
        <f t="shared" si="0"/>
        <v>10405736.8422</v>
      </c>
      <c r="L27" s="38"/>
      <c r="N27" s="40">
        <v>13.5947</v>
      </c>
    </row>
    <row r="28" spans="1:14" s="39" customFormat="1">
      <c r="A28" s="31">
        <v>22</v>
      </c>
      <c r="B28" s="33" t="s">
        <v>890</v>
      </c>
      <c r="C28" s="32" t="s">
        <v>252</v>
      </c>
      <c r="D28" s="43" t="s">
        <v>1163</v>
      </c>
      <c r="E28" s="34"/>
      <c r="F28" s="31" t="s">
        <v>892</v>
      </c>
      <c r="G28" s="32" t="s">
        <v>895</v>
      </c>
      <c r="H28" s="32">
        <v>44</v>
      </c>
      <c r="I28" s="52">
        <v>9739</v>
      </c>
      <c r="J28" s="48">
        <v>132398.78330000001</v>
      </c>
      <c r="K28" s="37">
        <f t="shared" si="0"/>
        <v>5825546.4652000004</v>
      </c>
      <c r="L28" s="38"/>
      <c r="N28" s="40">
        <v>13.5947</v>
      </c>
    </row>
    <row r="29" spans="1:14" s="39" customFormat="1">
      <c r="A29" s="31">
        <v>23</v>
      </c>
      <c r="B29" s="108" t="s">
        <v>890</v>
      </c>
      <c r="C29" s="57" t="s">
        <v>145</v>
      </c>
      <c r="D29" s="41" t="s">
        <v>146</v>
      </c>
      <c r="E29" s="57"/>
      <c r="F29" s="57" t="s">
        <v>147</v>
      </c>
      <c r="G29" s="59" t="s">
        <v>895</v>
      </c>
      <c r="H29" s="57">
        <v>3</v>
      </c>
      <c r="I29" s="52">
        <v>9089</v>
      </c>
      <c r="J29" s="48">
        <v>123562.2283</v>
      </c>
      <c r="K29" s="37">
        <f t="shared" si="0"/>
        <v>370686.68489999999</v>
      </c>
      <c r="L29" s="38"/>
      <c r="N29" s="40">
        <v>13.5947</v>
      </c>
    </row>
    <row r="30" spans="1:14" s="39" customFormat="1">
      <c r="A30" s="31">
        <v>24</v>
      </c>
      <c r="B30" s="108" t="s">
        <v>904</v>
      </c>
      <c r="C30" s="57" t="s">
        <v>1222</v>
      </c>
      <c r="D30" s="41" t="s">
        <v>921</v>
      </c>
      <c r="E30" s="57"/>
      <c r="F30" s="57" t="s">
        <v>905</v>
      </c>
      <c r="G30" s="59" t="s">
        <v>895</v>
      </c>
      <c r="H30" s="57">
        <v>3</v>
      </c>
      <c r="I30" s="52">
        <v>10786</v>
      </c>
      <c r="J30" s="48">
        <v>146632.43419999999</v>
      </c>
      <c r="K30" s="37">
        <f t="shared" si="0"/>
        <v>439897.30259999994</v>
      </c>
      <c r="L30" s="38"/>
      <c r="N30" s="40">
        <v>13.5947</v>
      </c>
    </row>
    <row r="31" spans="1:14" s="39" customFormat="1">
      <c r="A31" s="31">
        <v>25</v>
      </c>
      <c r="B31" s="72" t="s">
        <v>890</v>
      </c>
      <c r="C31" s="61" t="s">
        <v>124</v>
      </c>
      <c r="D31" s="62" t="s">
        <v>10</v>
      </c>
      <c r="E31" s="63"/>
      <c r="F31" s="64" t="s">
        <v>908</v>
      </c>
      <c r="G31" s="64" t="s">
        <v>895</v>
      </c>
      <c r="H31" s="54">
        <v>29</v>
      </c>
      <c r="I31" s="47">
        <v>9545</v>
      </c>
      <c r="J31" s="48">
        <v>129761.4115</v>
      </c>
      <c r="K31" s="37">
        <f t="shared" si="0"/>
        <v>3763080.9335000003</v>
      </c>
      <c r="L31" s="38"/>
      <c r="N31" s="40">
        <v>13.5947</v>
      </c>
    </row>
    <row r="32" spans="1:14" s="39" customFormat="1">
      <c r="A32" s="31">
        <v>26</v>
      </c>
      <c r="B32" s="67" t="s">
        <v>890</v>
      </c>
      <c r="C32" s="66" t="s">
        <v>1164</v>
      </c>
      <c r="D32" s="67" t="s">
        <v>1165</v>
      </c>
      <c r="E32" s="66"/>
      <c r="F32" s="68" t="s">
        <v>891</v>
      </c>
      <c r="G32" s="65" t="s">
        <v>895</v>
      </c>
      <c r="H32" s="65">
        <v>6</v>
      </c>
      <c r="I32" s="47">
        <v>10253</v>
      </c>
      <c r="J32" s="48">
        <v>139386.45910000001</v>
      </c>
      <c r="K32" s="37">
        <f t="shared" si="0"/>
        <v>836318.7546000001</v>
      </c>
      <c r="L32" s="38"/>
      <c r="N32" s="40">
        <v>13.5947</v>
      </c>
    </row>
    <row r="33" spans="1:14" s="39" customFormat="1">
      <c r="A33" s="31">
        <v>27</v>
      </c>
      <c r="B33" s="67" t="s">
        <v>890</v>
      </c>
      <c r="C33" s="66" t="s">
        <v>126</v>
      </c>
      <c r="D33" s="67" t="s">
        <v>12</v>
      </c>
      <c r="E33" s="66"/>
      <c r="F33" s="68" t="s">
        <v>907</v>
      </c>
      <c r="G33" s="65" t="s">
        <v>895</v>
      </c>
      <c r="H33" s="65">
        <v>142</v>
      </c>
      <c r="I33" s="47">
        <v>18983</v>
      </c>
      <c r="J33" s="48">
        <v>258068.19009999998</v>
      </c>
      <c r="K33" s="37">
        <f t="shared" si="0"/>
        <v>36645682.994199999</v>
      </c>
      <c r="L33" s="38"/>
      <c r="N33" s="40">
        <v>13.5947</v>
      </c>
    </row>
    <row r="34" spans="1:14" s="39" customFormat="1">
      <c r="A34" s="31">
        <v>28</v>
      </c>
      <c r="B34" s="108" t="s">
        <v>890</v>
      </c>
      <c r="C34" s="57" t="s">
        <v>125</v>
      </c>
      <c r="D34" s="41" t="s">
        <v>11</v>
      </c>
      <c r="E34" s="57"/>
      <c r="F34" s="57" t="s">
        <v>906</v>
      </c>
      <c r="G34" s="59" t="s">
        <v>895</v>
      </c>
      <c r="H34" s="57">
        <v>18</v>
      </c>
      <c r="I34" s="52">
        <v>18983</v>
      </c>
      <c r="J34" s="48">
        <v>258068.19009999998</v>
      </c>
      <c r="K34" s="37">
        <f t="shared" si="0"/>
        <v>4645227.4217999997</v>
      </c>
      <c r="L34" s="38"/>
      <c r="N34" s="40">
        <v>13.5947</v>
      </c>
    </row>
    <row r="35" spans="1:14" s="39" customFormat="1">
      <c r="A35" s="31">
        <v>29</v>
      </c>
      <c r="B35" s="108" t="s">
        <v>897</v>
      </c>
      <c r="C35" s="57" t="s">
        <v>1166</v>
      </c>
      <c r="D35" s="41" t="s">
        <v>1167</v>
      </c>
      <c r="E35" s="57"/>
      <c r="F35" s="57" t="s">
        <v>903</v>
      </c>
      <c r="G35" s="59" t="s">
        <v>895</v>
      </c>
      <c r="H35" s="57">
        <v>12</v>
      </c>
      <c r="I35" s="52">
        <v>28761</v>
      </c>
      <c r="J35" s="48">
        <v>390997.1667</v>
      </c>
      <c r="K35" s="37">
        <f t="shared" si="0"/>
        <v>4691966.0004000003</v>
      </c>
      <c r="L35" s="38"/>
      <c r="N35" s="40">
        <v>13.5947</v>
      </c>
    </row>
    <row r="36" spans="1:14" s="39" customFormat="1">
      <c r="A36" s="31">
        <v>30</v>
      </c>
      <c r="B36" s="33" t="s">
        <v>1168</v>
      </c>
      <c r="C36" s="32" t="s">
        <v>1169</v>
      </c>
      <c r="D36" s="43" t="s">
        <v>995</v>
      </c>
      <c r="E36" s="32"/>
      <c r="F36" s="31" t="s">
        <v>996</v>
      </c>
      <c r="G36" s="59" t="s">
        <v>895</v>
      </c>
      <c r="H36" s="32">
        <v>6</v>
      </c>
      <c r="I36" s="52">
        <v>11058</v>
      </c>
      <c r="J36" s="48">
        <v>150330.19260000001</v>
      </c>
      <c r="K36" s="37">
        <f t="shared" si="0"/>
        <v>901981.15560000006</v>
      </c>
      <c r="L36" s="38"/>
      <c r="N36" s="40">
        <v>13.5947</v>
      </c>
    </row>
    <row r="37" spans="1:14" s="39" customFormat="1">
      <c r="A37" s="31">
        <v>31</v>
      </c>
      <c r="B37" s="33" t="s">
        <v>681</v>
      </c>
      <c r="C37" s="32" t="s">
        <v>61</v>
      </c>
      <c r="D37" s="33" t="s">
        <v>601</v>
      </c>
      <c r="E37" s="34"/>
      <c r="F37" s="35" t="s">
        <v>602</v>
      </c>
      <c r="G37" s="32" t="s">
        <v>60</v>
      </c>
      <c r="H37" s="32">
        <v>1</v>
      </c>
      <c r="I37" s="52">
        <v>26946</v>
      </c>
      <c r="J37" s="48">
        <v>366322.78619999997</v>
      </c>
      <c r="K37" s="37">
        <f t="shared" si="0"/>
        <v>366322.78619999997</v>
      </c>
      <c r="L37" s="38"/>
      <c r="N37" s="40">
        <v>13.5947</v>
      </c>
    </row>
    <row r="38" spans="1:14" s="39" customFormat="1">
      <c r="A38" s="31">
        <v>32</v>
      </c>
      <c r="B38" s="33" t="s">
        <v>681</v>
      </c>
      <c r="C38" s="32" t="s">
        <v>256</v>
      </c>
      <c r="D38" s="33" t="s">
        <v>603</v>
      </c>
      <c r="E38" s="34"/>
      <c r="F38" s="35" t="s">
        <v>604</v>
      </c>
      <c r="G38" s="32" t="s">
        <v>60</v>
      </c>
      <c r="H38" s="32">
        <v>1</v>
      </c>
      <c r="I38" s="52">
        <v>32142</v>
      </c>
      <c r="J38" s="48">
        <v>436960.84739999997</v>
      </c>
      <c r="K38" s="37">
        <f t="shared" si="0"/>
        <v>436960.84739999997</v>
      </c>
      <c r="L38" s="38"/>
      <c r="N38" s="40">
        <v>13.5947</v>
      </c>
    </row>
    <row r="39" spans="1:14" s="39" customFormat="1">
      <c r="A39" s="31">
        <v>33</v>
      </c>
      <c r="B39" s="33" t="s">
        <v>680</v>
      </c>
      <c r="C39" s="32" t="s">
        <v>595</v>
      </c>
      <c r="D39" s="33" t="s">
        <v>596</v>
      </c>
      <c r="E39" s="34"/>
      <c r="F39" s="35" t="s">
        <v>597</v>
      </c>
      <c r="G39" s="32" t="s">
        <v>60</v>
      </c>
      <c r="H39" s="32">
        <v>2</v>
      </c>
      <c r="I39" s="52">
        <v>85834</v>
      </c>
      <c r="J39" s="48">
        <v>1166887.4797999999</v>
      </c>
      <c r="K39" s="37">
        <f t="shared" si="0"/>
        <v>2333774.9595999997</v>
      </c>
      <c r="L39" s="38"/>
      <c r="N39" s="40">
        <v>13.5947</v>
      </c>
    </row>
    <row r="40" spans="1:14" s="39" customFormat="1">
      <c r="A40" s="31">
        <v>34</v>
      </c>
      <c r="B40" s="33" t="s">
        <v>680</v>
      </c>
      <c r="C40" s="32" t="s">
        <v>598</v>
      </c>
      <c r="D40" s="33" t="s">
        <v>599</v>
      </c>
      <c r="E40" s="34"/>
      <c r="F40" s="35" t="s">
        <v>600</v>
      </c>
      <c r="G40" s="32" t="s">
        <v>60</v>
      </c>
      <c r="H40" s="32">
        <v>2</v>
      </c>
      <c r="I40" s="52">
        <v>91030</v>
      </c>
      <c r="J40" s="48">
        <v>1237525.541</v>
      </c>
      <c r="K40" s="37">
        <f t="shared" si="0"/>
        <v>2475051.0819999999</v>
      </c>
      <c r="L40" s="38"/>
      <c r="N40" s="40">
        <v>13.5947</v>
      </c>
    </row>
    <row r="41" spans="1:14" s="39" customFormat="1">
      <c r="A41" s="31">
        <v>35</v>
      </c>
      <c r="B41" s="33" t="s">
        <v>922</v>
      </c>
      <c r="C41" s="32" t="s">
        <v>256</v>
      </c>
      <c r="D41" s="43" t="s">
        <v>257</v>
      </c>
      <c r="E41" s="32"/>
      <c r="F41" s="31" t="s">
        <v>734</v>
      </c>
      <c r="G41" s="59" t="s">
        <v>60</v>
      </c>
      <c r="H41" s="32">
        <v>3</v>
      </c>
      <c r="I41" s="52">
        <v>20368</v>
      </c>
      <c r="J41" s="48">
        <v>276896.84960000002</v>
      </c>
      <c r="K41" s="37">
        <f t="shared" si="0"/>
        <v>830690.54879999999</v>
      </c>
      <c r="L41" s="38"/>
      <c r="N41" s="40">
        <v>13.5947</v>
      </c>
    </row>
    <row r="42" spans="1:14" s="39" customFormat="1">
      <c r="A42" s="31">
        <v>36</v>
      </c>
      <c r="B42" s="33" t="s">
        <v>922</v>
      </c>
      <c r="C42" s="32" t="s">
        <v>258</v>
      </c>
      <c r="D42" s="33" t="s">
        <v>735</v>
      </c>
      <c r="E42" s="34"/>
      <c r="F42" s="42" t="s">
        <v>736</v>
      </c>
      <c r="G42" s="32" t="s">
        <v>60</v>
      </c>
      <c r="H42" s="32">
        <v>6</v>
      </c>
      <c r="I42" s="52">
        <v>50562</v>
      </c>
      <c r="J42" s="48">
        <v>687375.22139999992</v>
      </c>
      <c r="K42" s="37">
        <f t="shared" si="0"/>
        <v>4124251.3283999995</v>
      </c>
      <c r="L42" s="38"/>
      <c r="N42" s="40">
        <v>13.5947</v>
      </c>
    </row>
    <row r="43" spans="1:14" s="39" customFormat="1">
      <c r="A43" s="31">
        <v>37</v>
      </c>
      <c r="B43" s="67" t="s">
        <v>890</v>
      </c>
      <c r="C43" s="66" t="s">
        <v>259</v>
      </c>
      <c r="D43" s="67" t="s">
        <v>260</v>
      </c>
      <c r="E43" s="66"/>
      <c r="F43" s="68" t="s">
        <v>737</v>
      </c>
      <c r="G43" s="65" t="s">
        <v>60</v>
      </c>
      <c r="H43" s="49">
        <v>21</v>
      </c>
      <c r="I43" s="52">
        <v>39368</v>
      </c>
      <c r="J43" s="48">
        <v>535196.1496</v>
      </c>
      <c r="K43" s="37">
        <f t="shared" si="0"/>
        <v>11239119.1416</v>
      </c>
      <c r="L43" s="38"/>
      <c r="N43" s="40">
        <v>13.5947</v>
      </c>
    </row>
    <row r="44" spans="1:14" s="39" customFormat="1">
      <c r="A44" s="31">
        <v>38</v>
      </c>
      <c r="B44" s="33" t="s">
        <v>243</v>
      </c>
      <c r="C44" s="32"/>
      <c r="D44" s="33" t="s">
        <v>244</v>
      </c>
      <c r="E44" s="34"/>
      <c r="F44" s="42" t="s">
        <v>740</v>
      </c>
      <c r="G44" s="32" t="s">
        <v>245</v>
      </c>
      <c r="H44" s="32">
        <v>75</v>
      </c>
      <c r="I44" s="37"/>
      <c r="J44" s="37">
        <v>11790</v>
      </c>
      <c r="K44" s="37">
        <f t="shared" si="0"/>
        <v>884250</v>
      </c>
      <c r="L44" s="38"/>
    </row>
    <row r="45" spans="1:14" s="39" customFormat="1">
      <c r="A45" s="31">
        <v>39</v>
      </c>
      <c r="B45" s="33" t="s">
        <v>246</v>
      </c>
      <c r="C45" s="32"/>
      <c r="D45" s="33" t="s">
        <v>247</v>
      </c>
      <c r="E45" s="34"/>
      <c r="F45" s="35" t="s">
        <v>1219</v>
      </c>
      <c r="G45" s="32" t="s">
        <v>62</v>
      </c>
      <c r="H45" s="32">
        <v>3</v>
      </c>
      <c r="I45" s="37"/>
      <c r="J45" s="37">
        <v>134830</v>
      </c>
      <c r="K45" s="37">
        <f t="shared" si="0"/>
        <v>404490</v>
      </c>
      <c r="L45" s="38"/>
    </row>
    <row r="46" spans="1:14" s="39" customFormat="1">
      <c r="A46" s="31">
        <v>40</v>
      </c>
      <c r="B46" s="33" t="s">
        <v>920</v>
      </c>
      <c r="C46" s="32" t="s">
        <v>129</v>
      </c>
      <c r="D46" s="43" t="s">
        <v>14</v>
      </c>
      <c r="E46" s="32"/>
      <c r="F46" s="31" t="s">
        <v>15</v>
      </c>
      <c r="G46" s="59" t="s">
        <v>1126</v>
      </c>
      <c r="H46" s="32">
        <v>16</v>
      </c>
      <c r="I46" s="37"/>
      <c r="J46" s="37">
        <v>253241</v>
      </c>
      <c r="K46" s="37">
        <f t="shared" si="0"/>
        <v>4051856</v>
      </c>
      <c r="L46" s="38"/>
    </row>
    <row r="47" spans="1:14" s="39" customFormat="1">
      <c r="A47" s="31">
        <v>41</v>
      </c>
      <c r="B47" s="33" t="s">
        <v>1223</v>
      </c>
      <c r="C47" s="32" t="s">
        <v>997</v>
      </c>
      <c r="D47" s="43" t="s">
        <v>998</v>
      </c>
      <c r="E47" s="34"/>
      <c r="F47" s="31" t="s">
        <v>999</v>
      </c>
      <c r="G47" s="32" t="s">
        <v>1126</v>
      </c>
      <c r="H47" s="32">
        <v>20</v>
      </c>
      <c r="I47" s="37"/>
      <c r="J47" s="37">
        <v>98800</v>
      </c>
      <c r="K47" s="37">
        <f t="shared" si="0"/>
        <v>1976000</v>
      </c>
      <c r="L47" s="38"/>
    </row>
    <row r="48" spans="1:14" s="39" customFormat="1">
      <c r="A48" s="31">
        <v>42</v>
      </c>
      <c r="B48" s="33" t="s">
        <v>1223</v>
      </c>
      <c r="C48" s="32" t="s">
        <v>130</v>
      </c>
      <c r="D48" s="43" t="s">
        <v>923</v>
      </c>
      <c r="E48" s="34"/>
      <c r="F48" s="31" t="s">
        <v>894</v>
      </c>
      <c r="G48" s="32" t="s">
        <v>1126</v>
      </c>
      <c r="H48" s="32">
        <v>192</v>
      </c>
      <c r="I48" s="37"/>
      <c r="J48" s="37">
        <v>123600</v>
      </c>
      <c r="K48" s="37">
        <f t="shared" si="0"/>
        <v>23731200</v>
      </c>
      <c r="L48" s="38"/>
    </row>
    <row r="49" spans="1:12" s="39" customFormat="1">
      <c r="A49" s="31">
        <v>43</v>
      </c>
      <c r="B49" s="67" t="s">
        <v>1223</v>
      </c>
      <c r="C49" s="66" t="s">
        <v>253</v>
      </c>
      <c r="D49" s="67" t="s">
        <v>605</v>
      </c>
      <c r="E49" s="66"/>
      <c r="F49" s="68" t="s">
        <v>684</v>
      </c>
      <c r="G49" s="65" t="s">
        <v>1126</v>
      </c>
      <c r="H49" s="65">
        <v>7</v>
      </c>
      <c r="I49" s="48"/>
      <c r="J49" s="48">
        <v>269800</v>
      </c>
      <c r="K49" s="37">
        <f t="shared" si="0"/>
        <v>1888600</v>
      </c>
      <c r="L49" s="38"/>
    </row>
    <row r="50" spans="1:12" s="39" customFormat="1">
      <c r="A50" s="31">
        <v>44</v>
      </c>
      <c r="B50" s="67" t="s">
        <v>1223</v>
      </c>
      <c r="C50" s="66" t="s">
        <v>131</v>
      </c>
      <c r="D50" s="67" t="s">
        <v>16</v>
      </c>
      <c r="E50" s="66"/>
      <c r="F50" s="68" t="s">
        <v>914</v>
      </c>
      <c r="G50" s="65" t="s">
        <v>1126</v>
      </c>
      <c r="H50" s="65">
        <v>128</v>
      </c>
      <c r="I50" s="48"/>
      <c r="J50" s="48">
        <v>310700</v>
      </c>
      <c r="K50" s="37">
        <f t="shared" si="0"/>
        <v>39769600</v>
      </c>
      <c r="L50" s="38"/>
    </row>
    <row r="51" spans="1:12" s="39" customFormat="1">
      <c r="A51" s="31">
        <v>45</v>
      </c>
      <c r="B51" s="108" t="s">
        <v>1223</v>
      </c>
      <c r="C51" s="57" t="s">
        <v>156</v>
      </c>
      <c r="D51" s="41" t="s">
        <v>157</v>
      </c>
      <c r="E51" s="57"/>
      <c r="F51" s="69" t="s">
        <v>158</v>
      </c>
      <c r="G51" s="57" t="s">
        <v>1126</v>
      </c>
      <c r="H51" s="57">
        <v>2</v>
      </c>
      <c r="I51" s="37"/>
      <c r="J51" s="37">
        <v>74399</v>
      </c>
      <c r="K51" s="37">
        <f t="shared" si="0"/>
        <v>148798</v>
      </c>
      <c r="L51" s="38"/>
    </row>
    <row r="52" spans="1:12" s="39" customFormat="1">
      <c r="A52" s="31">
        <v>46</v>
      </c>
      <c r="B52" s="108" t="s">
        <v>1223</v>
      </c>
      <c r="C52" s="57" t="s">
        <v>254</v>
      </c>
      <c r="D52" s="41" t="s">
        <v>255</v>
      </c>
      <c r="E52" s="57"/>
      <c r="F52" s="69" t="s">
        <v>745</v>
      </c>
      <c r="G52" s="57" t="s">
        <v>1126</v>
      </c>
      <c r="H52" s="57">
        <v>18</v>
      </c>
      <c r="I52" s="37"/>
      <c r="J52" s="37">
        <v>790000</v>
      </c>
      <c r="K52" s="37">
        <f t="shared" si="0"/>
        <v>14220000</v>
      </c>
      <c r="L52" s="38"/>
    </row>
    <row r="53" spans="1:12" s="39" customFormat="1">
      <c r="A53" s="31">
        <v>47</v>
      </c>
      <c r="B53" s="33" t="s">
        <v>917</v>
      </c>
      <c r="C53" s="32" t="s">
        <v>121</v>
      </c>
      <c r="D53" s="33" t="s">
        <v>845</v>
      </c>
      <c r="E53" s="34"/>
      <c r="F53" s="35" t="s">
        <v>846</v>
      </c>
      <c r="G53" s="32" t="s">
        <v>918</v>
      </c>
      <c r="H53" s="32">
        <v>40</v>
      </c>
      <c r="I53" s="37"/>
      <c r="J53" s="37">
        <v>376300</v>
      </c>
      <c r="K53" s="37">
        <f t="shared" si="0"/>
        <v>15052000</v>
      </c>
      <c r="L53" s="38"/>
    </row>
    <row r="54" spans="1:12" s="39" customFormat="1">
      <c r="A54" s="31">
        <v>48</v>
      </c>
      <c r="B54" s="67" t="s">
        <v>922</v>
      </c>
      <c r="C54" s="66" t="s">
        <v>61</v>
      </c>
      <c r="D54" s="67" t="s">
        <v>732</v>
      </c>
      <c r="E54" s="66"/>
      <c r="F54" s="68" t="s">
        <v>733</v>
      </c>
      <c r="G54" s="65" t="s">
        <v>895</v>
      </c>
      <c r="H54" s="49">
        <v>3</v>
      </c>
      <c r="I54" s="37"/>
      <c r="J54" s="37">
        <v>109000</v>
      </c>
      <c r="K54" s="37">
        <f t="shared" si="0"/>
        <v>327000</v>
      </c>
      <c r="L54" s="38"/>
    </row>
    <row r="55" spans="1:12" s="39" customFormat="1">
      <c r="A55" s="31">
        <v>49</v>
      </c>
      <c r="B55" s="33" t="s">
        <v>682</v>
      </c>
      <c r="C55" s="32" t="s">
        <v>261</v>
      </c>
      <c r="D55" s="41" t="s">
        <v>262</v>
      </c>
      <c r="E55" s="34"/>
      <c r="F55" s="32" t="s">
        <v>263</v>
      </c>
      <c r="G55" s="32" t="s">
        <v>683</v>
      </c>
      <c r="H55" s="32">
        <v>2</v>
      </c>
      <c r="I55" s="37"/>
      <c r="J55" s="37">
        <v>436000</v>
      </c>
      <c r="K55" s="37">
        <f t="shared" si="0"/>
        <v>872000</v>
      </c>
      <c r="L55" s="38"/>
    </row>
    <row r="56" spans="1:12" s="39" customFormat="1">
      <c r="A56" s="31">
        <v>50</v>
      </c>
      <c r="B56" s="70" t="s">
        <v>682</v>
      </c>
      <c r="C56" s="34" t="s">
        <v>261</v>
      </c>
      <c r="D56" s="70" t="s">
        <v>553</v>
      </c>
      <c r="E56" s="31"/>
      <c r="F56" s="31" t="s">
        <v>553</v>
      </c>
      <c r="G56" s="46" t="s">
        <v>683</v>
      </c>
      <c r="H56" s="31">
        <v>2</v>
      </c>
      <c r="I56" s="37"/>
      <c r="J56" s="37">
        <v>436000</v>
      </c>
      <c r="K56" s="37">
        <f t="shared" si="0"/>
        <v>872000</v>
      </c>
      <c r="L56" s="38"/>
    </row>
    <row r="57" spans="1:12" s="39" customFormat="1">
      <c r="A57" s="31">
        <v>51</v>
      </c>
      <c r="B57" s="70" t="s">
        <v>682</v>
      </c>
      <c r="C57" s="34" t="s">
        <v>568</v>
      </c>
      <c r="D57" s="70" t="s">
        <v>554</v>
      </c>
      <c r="E57" s="31"/>
      <c r="F57" s="31" t="s">
        <v>554</v>
      </c>
      <c r="G57" s="46" t="s">
        <v>683</v>
      </c>
      <c r="H57" s="31">
        <v>2</v>
      </c>
      <c r="I57" s="37"/>
      <c r="J57" s="37">
        <v>436000</v>
      </c>
      <c r="K57" s="37">
        <f t="shared" si="0"/>
        <v>872000</v>
      </c>
      <c r="L57" s="38"/>
    </row>
    <row r="58" spans="1:12" s="39" customFormat="1">
      <c r="A58" s="31">
        <v>52</v>
      </c>
      <c r="B58" s="33" t="s">
        <v>1170</v>
      </c>
      <c r="C58" s="32" t="s">
        <v>264</v>
      </c>
      <c r="D58" s="41" t="s">
        <v>265</v>
      </c>
      <c r="E58" s="34"/>
      <c r="F58" s="31" t="s">
        <v>742</v>
      </c>
      <c r="G58" s="32" t="s">
        <v>838</v>
      </c>
      <c r="H58" s="32">
        <v>6</v>
      </c>
      <c r="I58" s="37"/>
      <c r="J58" s="37">
        <v>1100000</v>
      </c>
      <c r="K58" s="37">
        <f t="shared" si="0"/>
        <v>6600000</v>
      </c>
      <c r="L58" s="38"/>
    </row>
    <row r="59" spans="1:12" s="39" customFormat="1">
      <c r="A59" s="31">
        <v>53</v>
      </c>
      <c r="B59" s="33" t="s">
        <v>1170</v>
      </c>
      <c r="C59" s="32" t="s">
        <v>1059</v>
      </c>
      <c r="D59" s="33" t="s">
        <v>266</v>
      </c>
      <c r="E59" s="34"/>
      <c r="F59" s="42" t="s">
        <v>566</v>
      </c>
      <c r="G59" s="32" t="s">
        <v>838</v>
      </c>
      <c r="H59" s="32">
        <v>1</v>
      </c>
      <c r="I59" s="37"/>
      <c r="J59" s="37">
        <v>2200000</v>
      </c>
      <c r="K59" s="37">
        <f t="shared" si="0"/>
        <v>2200000</v>
      </c>
      <c r="L59" s="38"/>
    </row>
    <row r="60" spans="1:12" s="39" customFormat="1">
      <c r="A60" s="31">
        <v>54</v>
      </c>
      <c r="B60" s="33" t="s">
        <v>1170</v>
      </c>
      <c r="C60" s="32" t="s">
        <v>1171</v>
      </c>
      <c r="D60" s="33" t="s">
        <v>267</v>
      </c>
      <c r="E60" s="34"/>
      <c r="F60" s="42" t="s">
        <v>616</v>
      </c>
      <c r="G60" s="32" t="s">
        <v>1154</v>
      </c>
      <c r="H60" s="32">
        <v>12</v>
      </c>
      <c r="I60" s="37"/>
      <c r="J60" s="37">
        <v>458000</v>
      </c>
      <c r="K60" s="37">
        <f t="shared" si="0"/>
        <v>5496000</v>
      </c>
      <c r="L60" s="38"/>
    </row>
    <row r="61" spans="1:12" s="39" customFormat="1">
      <c r="A61" s="31">
        <v>55</v>
      </c>
      <c r="B61" s="33" t="s">
        <v>1170</v>
      </c>
      <c r="C61" s="32" t="s">
        <v>6</v>
      </c>
      <c r="D61" s="33" t="s">
        <v>7</v>
      </c>
      <c r="E61" s="34"/>
      <c r="F61" s="35" t="s">
        <v>1215</v>
      </c>
      <c r="G61" s="32" t="s">
        <v>1154</v>
      </c>
      <c r="H61" s="32">
        <v>15</v>
      </c>
      <c r="I61" s="37"/>
      <c r="J61" s="37">
        <v>447000</v>
      </c>
      <c r="K61" s="37">
        <f t="shared" si="0"/>
        <v>6705000</v>
      </c>
      <c r="L61" s="38"/>
    </row>
    <row r="62" spans="1:12" s="39" customFormat="1">
      <c r="A62" s="31">
        <v>56</v>
      </c>
      <c r="B62" s="33" t="s">
        <v>1170</v>
      </c>
      <c r="C62" s="32" t="s">
        <v>268</v>
      </c>
      <c r="D62" s="43" t="s">
        <v>269</v>
      </c>
      <c r="E62" s="34"/>
      <c r="F62" s="31" t="s">
        <v>1216</v>
      </c>
      <c r="G62" s="32" t="s">
        <v>1154</v>
      </c>
      <c r="H62" s="32">
        <v>3</v>
      </c>
      <c r="I62" s="37"/>
      <c r="J62" s="37">
        <v>1428000</v>
      </c>
      <c r="K62" s="37">
        <f t="shared" si="0"/>
        <v>4284000</v>
      </c>
      <c r="L62" s="38"/>
    </row>
    <row r="63" spans="1:12" s="39" customFormat="1">
      <c r="A63" s="31">
        <v>57</v>
      </c>
      <c r="B63" s="33" t="s">
        <v>1170</v>
      </c>
      <c r="C63" s="32" t="s">
        <v>8</v>
      </c>
      <c r="D63" s="41" t="s">
        <v>1155</v>
      </c>
      <c r="E63" s="34"/>
      <c r="F63" s="31" t="s">
        <v>1217</v>
      </c>
      <c r="G63" s="32" t="s">
        <v>1154</v>
      </c>
      <c r="H63" s="32">
        <v>12</v>
      </c>
      <c r="I63" s="37"/>
      <c r="J63" s="37">
        <v>370000</v>
      </c>
      <c r="K63" s="37">
        <f t="shared" si="0"/>
        <v>4440000</v>
      </c>
      <c r="L63" s="38"/>
    </row>
    <row r="64" spans="1:12" s="39" customFormat="1">
      <c r="A64" s="31">
        <v>58</v>
      </c>
      <c r="B64" s="33" t="s">
        <v>1170</v>
      </c>
      <c r="C64" s="32" t="s">
        <v>9</v>
      </c>
      <c r="D64" s="41" t="s">
        <v>267</v>
      </c>
      <c r="E64" s="34"/>
      <c r="F64" s="42" t="s">
        <v>109</v>
      </c>
      <c r="G64" s="32" t="s">
        <v>1154</v>
      </c>
      <c r="H64" s="32">
        <v>10</v>
      </c>
      <c r="I64" s="37"/>
      <c r="J64" s="37">
        <v>458000</v>
      </c>
      <c r="K64" s="37">
        <f t="shared" si="0"/>
        <v>4580000</v>
      </c>
      <c r="L64" s="38"/>
    </row>
    <row r="65" spans="1:12" s="39" customFormat="1">
      <c r="A65" s="31">
        <v>59</v>
      </c>
      <c r="B65" s="33" t="s">
        <v>1170</v>
      </c>
      <c r="C65" s="32" t="s">
        <v>1172</v>
      </c>
      <c r="D65" s="33" t="s">
        <v>1173</v>
      </c>
      <c r="E65" s="34"/>
      <c r="F65" s="35" t="s">
        <v>1214</v>
      </c>
      <c r="G65" s="32" t="s">
        <v>1174</v>
      </c>
      <c r="H65" s="32">
        <v>0</v>
      </c>
      <c r="I65" s="37"/>
      <c r="J65" s="37"/>
      <c r="K65" s="37">
        <f t="shared" si="0"/>
        <v>0</v>
      </c>
      <c r="L65" s="38"/>
    </row>
    <row r="66" spans="1:12" s="39" customFormat="1">
      <c r="A66" s="31">
        <v>60</v>
      </c>
      <c r="B66" s="33" t="s">
        <v>270</v>
      </c>
      <c r="C66" s="32"/>
      <c r="D66" s="43" t="s">
        <v>271</v>
      </c>
      <c r="E66" s="34"/>
      <c r="F66" s="31" t="s">
        <v>63</v>
      </c>
      <c r="G66" s="32" t="s">
        <v>62</v>
      </c>
      <c r="H66" s="32">
        <v>9</v>
      </c>
      <c r="I66" s="37"/>
      <c r="J66" s="37">
        <v>34720</v>
      </c>
      <c r="K66" s="37">
        <f t="shared" si="0"/>
        <v>312480</v>
      </c>
      <c r="L66" s="38"/>
    </row>
    <row r="67" spans="1:12" s="39" customFormat="1">
      <c r="A67" s="31">
        <v>61</v>
      </c>
      <c r="B67" s="33" t="s">
        <v>1170</v>
      </c>
      <c r="C67" s="32" t="s">
        <v>6</v>
      </c>
      <c r="D67" s="43" t="s">
        <v>272</v>
      </c>
      <c r="E67" s="34"/>
      <c r="F67" s="31" t="s">
        <v>617</v>
      </c>
      <c r="G67" s="32" t="s">
        <v>1154</v>
      </c>
      <c r="H67" s="32">
        <v>6</v>
      </c>
      <c r="I67" s="37"/>
      <c r="J67" s="37">
        <v>123500</v>
      </c>
      <c r="K67" s="37">
        <f t="shared" si="0"/>
        <v>741000</v>
      </c>
      <c r="L67" s="38"/>
    </row>
    <row r="68" spans="1:12" s="39" customFormat="1">
      <c r="A68" s="31">
        <v>62</v>
      </c>
      <c r="B68" s="33" t="s">
        <v>896</v>
      </c>
      <c r="C68" s="32" t="s">
        <v>994</v>
      </c>
      <c r="D68" s="43" t="s">
        <v>673</v>
      </c>
      <c r="E68" s="34"/>
      <c r="F68" s="31" t="s">
        <v>674</v>
      </c>
      <c r="G68" s="32" t="s">
        <v>672</v>
      </c>
      <c r="H68" s="32">
        <v>9</v>
      </c>
      <c r="I68" s="37"/>
      <c r="J68" s="37">
        <v>252500</v>
      </c>
      <c r="K68" s="37">
        <f t="shared" si="0"/>
        <v>2272500</v>
      </c>
      <c r="L68" s="38"/>
    </row>
    <row r="69" spans="1:12" s="39" customFormat="1">
      <c r="A69" s="31">
        <v>63</v>
      </c>
      <c r="B69" s="33" t="s">
        <v>896</v>
      </c>
      <c r="C69" s="32" t="s">
        <v>1175</v>
      </c>
      <c r="D69" s="43" t="s">
        <v>670</v>
      </c>
      <c r="E69" s="34"/>
      <c r="F69" s="31" t="s">
        <v>671</v>
      </c>
      <c r="G69" s="32" t="s">
        <v>672</v>
      </c>
      <c r="H69" s="32">
        <v>6</v>
      </c>
      <c r="I69" s="37"/>
      <c r="J69" s="37">
        <v>262500</v>
      </c>
      <c r="K69" s="37">
        <f t="shared" si="0"/>
        <v>1575000</v>
      </c>
      <c r="L69" s="38"/>
    </row>
    <row r="70" spans="1:12" s="39" customFormat="1">
      <c r="A70" s="31">
        <v>64</v>
      </c>
      <c r="B70" s="72" t="s">
        <v>1177</v>
      </c>
      <c r="C70" s="71" t="s">
        <v>273</v>
      </c>
      <c r="D70" s="72" t="s">
        <v>274</v>
      </c>
      <c r="E70" s="71"/>
      <c r="F70" s="60" t="s">
        <v>1218</v>
      </c>
      <c r="G70" s="60" t="s">
        <v>1179</v>
      </c>
      <c r="H70" s="60">
        <v>9</v>
      </c>
      <c r="I70" s="48"/>
      <c r="J70" s="48">
        <v>222000</v>
      </c>
      <c r="K70" s="37">
        <f t="shared" si="0"/>
        <v>1998000</v>
      </c>
      <c r="L70" s="38"/>
    </row>
    <row r="71" spans="1:12" s="39" customFormat="1">
      <c r="A71" s="31">
        <v>65</v>
      </c>
      <c r="B71" s="72" t="s">
        <v>1177</v>
      </c>
      <c r="C71" s="71" t="s">
        <v>17</v>
      </c>
      <c r="D71" s="72" t="s">
        <v>18</v>
      </c>
      <c r="E71" s="71"/>
      <c r="F71" s="60" t="s">
        <v>1220</v>
      </c>
      <c r="G71" s="60" t="s">
        <v>1179</v>
      </c>
      <c r="H71" s="60">
        <v>4</v>
      </c>
      <c r="I71" s="48"/>
      <c r="J71" s="48">
        <v>402000</v>
      </c>
      <c r="K71" s="37">
        <f t="shared" si="0"/>
        <v>1608000</v>
      </c>
      <c r="L71" s="38"/>
    </row>
    <row r="72" spans="1:12" s="39" customFormat="1">
      <c r="A72" s="31">
        <v>66</v>
      </c>
      <c r="B72" s="67" t="s">
        <v>1177</v>
      </c>
      <c r="C72" s="66" t="s">
        <v>1178</v>
      </c>
      <c r="D72" s="67" t="s">
        <v>963</v>
      </c>
      <c r="E72" s="66"/>
      <c r="F72" s="68" t="s">
        <v>1211</v>
      </c>
      <c r="G72" s="65" t="s">
        <v>1179</v>
      </c>
      <c r="H72" s="65">
        <v>12</v>
      </c>
      <c r="I72" s="48"/>
      <c r="J72" s="48">
        <v>222000</v>
      </c>
      <c r="K72" s="37">
        <f t="shared" ref="K72:K135" si="1">H72*J72</f>
        <v>2664000</v>
      </c>
      <c r="L72" s="38"/>
    </row>
    <row r="73" spans="1:12" s="39" customFormat="1">
      <c r="A73" s="31">
        <v>67</v>
      </c>
      <c r="B73" s="67" t="s">
        <v>1177</v>
      </c>
      <c r="C73" s="66" t="s">
        <v>17</v>
      </c>
      <c r="D73" s="67" t="s">
        <v>275</v>
      </c>
      <c r="E73" s="66"/>
      <c r="F73" s="68" t="s">
        <v>685</v>
      </c>
      <c r="G73" s="65" t="s">
        <v>1179</v>
      </c>
      <c r="H73" s="65">
        <v>2</v>
      </c>
      <c r="I73" s="48"/>
      <c r="J73" s="48">
        <v>222000</v>
      </c>
      <c r="K73" s="37">
        <f t="shared" si="1"/>
        <v>444000</v>
      </c>
      <c r="L73" s="38"/>
    </row>
    <row r="74" spans="1:12" s="39" customFormat="1">
      <c r="A74" s="31">
        <v>68</v>
      </c>
      <c r="B74" s="33" t="s">
        <v>1177</v>
      </c>
      <c r="C74" s="32" t="s">
        <v>276</v>
      </c>
      <c r="D74" s="33" t="s">
        <v>277</v>
      </c>
      <c r="E74" s="34"/>
      <c r="F74" s="35" t="s">
        <v>743</v>
      </c>
      <c r="G74" s="32" t="s">
        <v>1179</v>
      </c>
      <c r="H74" s="32">
        <v>18</v>
      </c>
      <c r="I74" s="37"/>
      <c r="J74" s="37">
        <v>446000</v>
      </c>
      <c r="K74" s="37">
        <f t="shared" si="1"/>
        <v>8028000</v>
      </c>
      <c r="L74" s="38"/>
    </row>
    <row r="75" spans="1:12" s="39" customFormat="1">
      <c r="A75" s="31">
        <v>69</v>
      </c>
      <c r="B75" s="33" t="s">
        <v>1177</v>
      </c>
      <c r="C75" s="32" t="s">
        <v>278</v>
      </c>
      <c r="D75" s="43" t="s">
        <v>279</v>
      </c>
      <c r="E75" s="34"/>
      <c r="F75" s="31" t="s">
        <v>744</v>
      </c>
      <c r="G75" s="32" t="s">
        <v>1179</v>
      </c>
      <c r="H75" s="32">
        <v>18</v>
      </c>
      <c r="I75" s="37"/>
      <c r="J75" s="37">
        <v>446000</v>
      </c>
      <c r="K75" s="37">
        <f t="shared" si="1"/>
        <v>8028000</v>
      </c>
      <c r="L75" s="38"/>
    </row>
    <row r="76" spans="1:12" s="39" customFormat="1">
      <c r="A76" s="31">
        <v>70</v>
      </c>
      <c r="B76" s="33" t="s">
        <v>1180</v>
      </c>
      <c r="C76" s="32" t="s">
        <v>280</v>
      </c>
      <c r="D76" s="33" t="s">
        <v>281</v>
      </c>
      <c r="E76" s="34"/>
      <c r="F76" s="42" t="s">
        <v>163</v>
      </c>
      <c r="G76" s="32" t="s">
        <v>164</v>
      </c>
      <c r="H76" s="32">
        <v>7</v>
      </c>
      <c r="I76" s="37"/>
      <c r="J76" s="37">
        <v>7500000</v>
      </c>
      <c r="K76" s="37">
        <f t="shared" si="1"/>
        <v>52500000</v>
      </c>
      <c r="L76" s="38"/>
    </row>
    <row r="77" spans="1:12" s="39" customFormat="1">
      <c r="A77" s="31">
        <v>71</v>
      </c>
      <c r="B77" s="33" t="s">
        <v>1181</v>
      </c>
      <c r="C77" s="32" t="s">
        <v>116</v>
      </c>
      <c r="D77" s="33" t="s">
        <v>864</v>
      </c>
      <c r="E77" s="34"/>
      <c r="F77" s="42" t="s">
        <v>865</v>
      </c>
      <c r="G77" s="32" t="s">
        <v>1043</v>
      </c>
      <c r="H77" s="32">
        <v>24</v>
      </c>
      <c r="I77" s="37"/>
      <c r="J77" s="37">
        <v>2391150</v>
      </c>
      <c r="K77" s="37">
        <f t="shared" si="1"/>
        <v>57387600</v>
      </c>
      <c r="L77" s="38"/>
    </row>
    <row r="78" spans="1:12" s="39" customFormat="1">
      <c r="A78" s="31">
        <v>72</v>
      </c>
      <c r="B78" s="33" t="s">
        <v>1181</v>
      </c>
      <c r="C78" s="32" t="s">
        <v>111</v>
      </c>
      <c r="D78" s="33" t="s">
        <v>112</v>
      </c>
      <c r="E78" s="34"/>
      <c r="F78" s="42" t="s">
        <v>113</v>
      </c>
      <c r="G78" s="32" t="s">
        <v>1043</v>
      </c>
      <c r="H78" s="32">
        <v>4</v>
      </c>
      <c r="I78" s="37"/>
      <c r="J78" s="37">
        <v>2753000</v>
      </c>
      <c r="K78" s="37">
        <f t="shared" si="1"/>
        <v>11012000</v>
      </c>
      <c r="L78" s="38"/>
    </row>
    <row r="79" spans="1:12" s="39" customFormat="1">
      <c r="A79" s="31">
        <v>73</v>
      </c>
      <c r="B79" s="33" t="s">
        <v>1181</v>
      </c>
      <c r="C79" s="32" t="s">
        <v>117</v>
      </c>
      <c r="D79" s="33" t="s">
        <v>856</v>
      </c>
      <c r="E79" s="34"/>
      <c r="F79" s="32" t="s">
        <v>857</v>
      </c>
      <c r="G79" s="32" t="s">
        <v>1043</v>
      </c>
      <c r="H79" s="32">
        <v>8</v>
      </c>
      <c r="I79" s="37"/>
      <c r="J79" s="37">
        <v>2391150</v>
      </c>
      <c r="K79" s="37">
        <f t="shared" si="1"/>
        <v>19129200</v>
      </c>
      <c r="L79" s="38"/>
    </row>
    <row r="80" spans="1:12" s="39" customFormat="1">
      <c r="A80" s="31">
        <v>74</v>
      </c>
      <c r="B80" s="33" t="s">
        <v>1181</v>
      </c>
      <c r="C80" s="32" t="s">
        <v>118</v>
      </c>
      <c r="D80" s="33" t="s">
        <v>858</v>
      </c>
      <c r="E80" s="34"/>
      <c r="F80" s="32" t="s">
        <v>859</v>
      </c>
      <c r="G80" s="32" t="s">
        <v>1043</v>
      </c>
      <c r="H80" s="32">
        <v>8</v>
      </c>
      <c r="I80" s="37"/>
      <c r="J80" s="37">
        <v>2391150</v>
      </c>
      <c r="K80" s="37">
        <f t="shared" si="1"/>
        <v>19129200</v>
      </c>
      <c r="L80" s="38"/>
    </row>
    <row r="81" spans="1:12" s="39" customFormat="1">
      <c r="A81" s="31">
        <v>75</v>
      </c>
      <c r="B81" s="108" t="s">
        <v>1180</v>
      </c>
      <c r="C81" s="57" t="s">
        <v>103</v>
      </c>
      <c r="D81" s="41" t="s">
        <v>104</v>
      </c>
      <c r="E81" s="57"/>
      <c r="F81" s="73" t="s">
        <v>105</v>
      </c>
      <c r="G81" s="59" t="s">
        <v>1043</v>
      </c>
      <c r="H81" s="57">
        <v>2</v>
      </c>
      <c r="I81" s="37"/>
      <c r="J81" s="37">
        <v>3216700</v>
      </c>
      <c r="K81" s="37">
        <f t="shared" si="1"/>
        <v>6433400</v>
      </c>
      <c r="L81" s="38"/>
    </row>
    <row r="82" spans="1:12" s="39" customFormat="1">
      <c r="A82" s="31">
        <v>76</v>
      </c>
      <c r="B82" s="108" t="s">
        <v>1180</v>
      </c>
      <c r="C82" s="57" t="s">
        <v>106</v>
      </c>
      <c r="D82" s="41" t="s">
        <v>107</v>
      </c>
      <c r="E82" s="57"/>
      <c r="F82" s="73" t="s">
        <v>108</v>
      </c>
      <c r="G82" s="59" t="s">
        <v>1043</v>
      </c>
      <c r="H82" s="57">
        <v>2</v>
      </c>
      <c r="I82" s="37"/>
      <c r="J82" s="37">
        <v>2391150</v>
      </c>
      <c r="K82" s="37">
        <f t="shared" si="1"/>
        <v>4782300</v>
      </c>
      <c r="L82" s="38"/>
    </row>
    <row r="83" spans="1:12" s="39" customFormat="1">
      <c r="A83" s="31">
        <v>77</v>
      </c>
      <c r="B83" s="33" t="s">
        <v>1181</v>
      </c>
      <c r="C83" s="32" t="s">
        <v>114</v>
      </c>
      <c r="D83" s="43" t="s">
        <v>866</v>
      </c>
      <c r="E83" s="34"/>
      <c r="F83" s="31" t="s">
        <v>867</v>
      </c>
      <c r="G83" s="32" t="s">
        <v>1043</v>
      </c>
      <c r="H83" s="32">
        <v>8</v>
      </c>
      <c r="I83" s="37"/>
      <c r="J83" s="37">
        <v>2824350</v>
      </c>
      <c r="K83" s="37">
        <f t="shared" si="1"/>
        <v>22594800</v>
      </c>
      <c r="L83" s="38"/>
    </row>
    <row r="84" spans="1:12" s="39" customFormat="1">
      <c r="A84" s="31">
        <v>78</v>
      </c>
      <c r="B84" s="33" t="s">
        <v>1181</v>
      </c>
      <c r="C84" s="32" t="s">
        <v>115</v>
      </c>
      <c r="D84" s="43" t="s">
        <v>868</v>
      </c>
      <c r="E84" s="34"/>
      <c r="F84" s="31" t="s">
        <v>869</v>
      </c>
      <c r="G84" s="32" t="s">
        <v>1043</v>
      </c>
      <c r="H84" s="32">
        <v>4</v>
      </c>
      <c r="I84" s="37"/>
      <c r="J84" s="37">
        <v>2944050</v>
      </c>
      <c r="K84" s="37">
        <f t="shared" si="1"/>
        <v>11776200</v>
      </c>
      <c r="L84" s="38"/>
    </row>
    <row r="85" spans="1:12" s="39" customFormat="1">
      <c r="A85" s="31">
        <v>79</v>
      </c>
      <c r="B85" s="33" t="s">
        <v>1181</v>
      </c>
      <c r="C85" s="32" t="s">
        <v>119</v>
      </c>
      <c r="D85" s="33" t="s">
        <v>860</v>
      </c>
      <c r="E85" s="34"/>
      <c r="F85" s="32" t="s">
        <v>861</v>
      </c>
      <c r="G85" s="32" t="s">
        <v>1043</v>
      </c>
      <c r="H85" s="32">
        <v>4</v>
      </c>
      <c r="I85" s="37"/>
      <c r="J85" s="37">
        <v>2944050</v>
      </c>
      <c r="K85" s="37">
        <f t="shared" si="1"/>
        <v>11776200</v>
      </c>
      <c r="L85" s="38"/>
    </row>
    <row r="86" spans="1:12" s="39" customFormat="1">
      <c r="A86" s="31">
        <v>80</v>
      </c>
      <c r="B86" s="33" t="s">
        <v>1181</v>
      </c>
      <c r="C86" s="32" t="s">
        <v>120</v>
      </c>
      <c r="D86" s="33" t="s">
        <v>862</v>
      </c>
      <c r="E86" s="34"/>
      <c r="F86" s="32" t="s">
        <v>863</v>
      </c>
      <c r="G86" s="32" t="s">
        <v>1043</v>
      </c>
      <c r="H86" s="32">
        <v>4</v>
      </c>
      <c r="I86" s="37"/>
      <c r="J86" s="37">
        <v>2944050</v>
      </c>
      <c r="K86" s="37">
        <f t="shared" si="1"/>
        <v>11776200</v>
      </c>
      <c r="L86" s="38"/>
    </row>
    <row r="87" spans="1:12" s="39" customFormat="1">
      <c r="A87" s="31">
        <v>81</v>
      </c>
      <c r="B87" s="33" t="s">
        <v>1181</v>
      </c>
      <c r="C87" s="32" t="s">
        <v>110</v>
      </c>
      <c r="D87" s="33" t="s">
        <v>843</v>
      </c>
      <c r="E87" s="34"/>
      <c r="F87" s="32" t="s">
        <v>844</v>
      </c>
      <c r="G87" s="32" t="s">
        <v>1043</v>
      </c>
      <c r="H87" s="32">
        <v>4</v>
      </c>
      <c r="I87" s="37"/>
      <c r="J87" s="37">
        <v>2944050</v>
      </c>
      <c r="K87" s="37">
        <f t="shared" si="1"/>
        <v>11776200</v>
      </c>
      <c r="L87" s="38"/>
    </row>
    <row r="88" spans="1:12" s="39" customFormat="1">
      <c r="A88" s="31">
        <v>82</v>
      </c>
      <c r="B88" s="33" t="s">
        <v>1181</v>
      </c>
      <c r="C88" s="32" t="s">
        <v>556</v>
      </c>
      <c r="D88" s="43" t="s">
        <v>282</v>
      </c>
      <c r="E88" s="34"/>
      <c r="F88" s="31" t="s">
        <v>738</v>
      </c>
      <c r="G88" s="32" t="s">
        <v>1043</v>
      </c>
      <c r="H88" s="32">
        <v>3</v>
      </c>
      <c r="I88" s="37"/>
      <c r="J88" s="37">
        <v>3136000</v>
      </c>
      <c r="K88" s="37">
        <f t="shared" si="1"/>
        <v>9408000</v>
      </c>
      <c r="L88" s="38"/>
    </row>
    <row r="89" spans="1:12" s="39" customFormat="1">
      <c r="A89" s="31">
        <v>83</v>
      </c>
      <c r="B89" s="33" t="s">
        <v>1181</v>
      </c>
      <c r="C89" s="32" t="s">
        <v>283</v>
      </c>
      <c r="D89" s="41" t="s">
        <v>284</v>
      </c>
      <c r="E89" s="34"/>
      <c r="F89" s="32" t="s">
        <v>739</v>
      </c>
      <c r="G89" s="32" t="s">
        <v>1043</v>
      </c>
      <c r="H89" s="32">
        <v>3</v>
      </c>
      <c r="I89" s="37"/>
      <c r="J89" s="37">
        <v>3839000</v>
      </c>
      <c r="K89" s="37">
        <f t="shared" si="1"/>
        <v>11517000</v>
      </c>
      <c r="L89" s="38"/>
    </row>
    <row r="90" spans="1:12" s="39" customFormat="1">
      <c r="A90" s="31">
        <v>84</v>
      </c>
      <c r="B90" s="33" t="s">
        <v>1181</v>
      </c>
      <c r="C90" s="32" t="s">
        <v>285</v>
      </c>
      <c r="D90" s="33" t="s">
        <v>286</v>
      </c>
      <c r="E90" s="34"/>
      <c r="F90" s="32" t="s">
        <v>287</v>
      </c>
      <c r="G90" s="32" t="s">
        <v>1043</v>
      </c>
      <c r="H90" s="32">
        <v>27</v>
      </c>
      <c r="I90" s="37"/>
      <c r="J90" s="37">
        <v>3484000</v>
      </c>
      <c r="K90" s="37">
        <f t="shared" si="1"/>
        <v>94068000</v>
      </c>
      <c r="L90" s="38"/>
    </row>
    <row r="91" spans="1:12" s="39" customFormat="1">
      <c r="A91" s="31">
        <v>85</v>
      </c>
      <c r="B91" s="33" t="s">
        <v>1180</v>
      </c>
      <c r="C91" s="32" t="s">
        <v>103</v>
      </c>
      <c r="D91" s="41" t="s">
        <v>288</v>
      </c>
      <c r="E91" s="34"/>
      <c r="F91" s="32" t="s">
        <v>614</v>
      </c>
      <c r="G91" s="32" t="s">
        <v>1043</v>
      </c>
      <c r="H91" s="32">
        <v>4</v>
      </c>
      <c r="I91" s="37"/>
      <c r="J91" s="37">
        <v>2856000</v>
      </c>
      <c r="K91" s="37">
        <f t="shared" si="1"/>
        <v>11424000</v>
      </c>
      <c r="L91" s="38"/>
    </row>
    <row r="92" spans="1:12" s="39" customFormat="1">
      <c r="A92" s="31">
        <v>86</v>
      </c>
      <c r="B92" s="108" t="s">
        <v>1180</v>
      </c>
      <c r="C92" s="57" t="s">
        <v>106</v>
      </c>
      <c r="D92" s="41" t="s">
        <v>289</v>
      </c>
      <c r="E92" s="57"/>
      <c r="F92" s="73" t="s">
        <v>290</v>
      </c>
      <c r="G92" s="59" t="s">
        <v>1043</v>
      </c>
      <c r="H92" s="57">
        <v>0</v>
      </c>
      <c r="I92" s="37"/>
      <c r="J92" s="37">
        <v>3136000</v>
      </c>
      <c r="K92" s="37">
        <f t="shared" si="1"/>
        <v>0</v>
      </c>
      <c r="L92" s="38"/>
    </row>
    <row r="93" spans="1:12" s="39" customFormat="1">
      <c r="A93" s="31">
        <v>87</v>
      </c>
      <c r="B93" s="108" t="s">
        <v>1177</v>
      </c>
      <c r="C93" s="57" t="s">
        <v>291</v>
      </c>
      <c r="D93" s="41" t="s">
        <v>292</v>
      </c>
      <c r="E93" s="57"/>
      <c r="F93" s="73" t="s">
        <v>618</v>
      </c>
      <c r="G93" s="59" t="s">
        <v>1043</v>
      </c>
      <c r="H93" s="57">
        <v>4</v>
      </c>
      <c r="I93" s="37"/>
      <c r="J93" s="37">
        <v>2856000</v>
      </c>
      <c r="K93" s="37">
        <f t="shared" si="1"/>
        <v>11424000</v>
      </c>
      <c r="L93" s="38"/>
    </row>
    <row r="94" spans="1:12" s="39" customFormat="1">
      <c r="A94" s="31">
        <v>88</v>
      </c>
      <c r="B94" s="75" t="s">
        <v>1180</v>
      </c>
      <c r="C94" s="44" t="s">
        <v>106</v>
      </c>
      <c r="D94" s="72" t="s">
        <v>293</v>
      </c>
      <c r="E94" s="71"/>
      <c r="F94" s="60" t="s">
        <v>615</v>
      </c>
      <c r="G94" s="60" t="s">
        <v>1043</v>
      </c>
      <c r="H94" s="31">
        <v>4</v>
      </c>
      <c r="I94" s="48"/>
      <c r="J94" s="48">
        <v>2964000</v>
      </c>
      <c r="K94" s="37">
        <f t="shared" si="1"/>
        <v>11856000</v>
      </c>
      <c r="L94" s="38"/>
    </row>
    <row r="95" spans="1:12" s="39" customFormat="1">
      <c r="A95" s="31">
        <v>89</v>
      </c>
      <c r="B95" s="33" t="s">
        <v>58</v>
      </c>
      <c r="C95" s="32" t="s">
        <v>123</v>
      </c>
      <c r="D95" s="41" t="s">
        <v>59</v>
      </c>
      <c r="E95" s="34"/>
      <c r="F95" s="32" t="s">
        <v>915</v>
      </c>
      <c r="G95" s="32" t="s">
        <v>916</v>
      </c>
      <c r="H95" s="74">
        <v>22</v>
      </c>
      <c r="I95" s="37"/>
      <c r="J95" s="37">
        <v>216000</v>
      </c>
      <c r="K95" s="37">
        <f t="shared" si="1"/>
        <v>4752000</v>
      </c>
      <c r="L95" s="38"/>
    </row>
    <row r="96" spans="1:12" s="39" customFormat="1">
      <c r="A96" s="31">
        <v>90</v>
      </c>
      <c r="B96" s="33" t="s">
        <v>1176</v>
      </c>
      <c r="C96" s="32" t="s">
        <v>294</v>
      </c>
      <c r="D96" s="41" t="s">
        <v>141</v>
      </c>
      <c r="E96" s="34"/>
      <c r="F96" s="32" t="s">
        <v>295</v>
      </c>
      <c r="G96" s="32" t="s">
        <v>847</v>
      </c>
      <c r="H96" s="74">
        <v>79</v>
      </c>
      <c r="I96" s="37"/>
      <c r="J96" s="37">
        <v>62000</v>
      </c>
      <c r="K96" s="37">
        <f t="shared" si="1"/>
        <v>4898000</v>
      </c>
      <c r="L96" s="38"/>
    </row>
    <row r="97" spans="1:12" s="39" customFormat="1">
      <c r="A97" s="31">
        <v>91</v>
      </c>
      <c r="B97" s="33" t="s">
        <v>1176</v>
      </c>
      <c r="C97" s="32" t="s">
        <v>122</v>
      </c>
      <c r="D97" s="43" t="s">
        <v>140</v>
      </c>
      <c r="E97" s="32"/>
      <c r="F97" s="31" t="s">
        <v>143</v>
      </c>
      <c r="G97" s="59" t="s">
        <v>847</v>
      </c>
      <c r="H97" s="32">
        <v>57</v>
      </c>
      <c r="I97" s="37"/>
      <c r="J97" s="37">
        <v>62000</v>
      </c>
      <c r="K97" s="37">
        <f t="shared" si="1"/>
        <v>3534000</v>
      </c>
      <c r="L97" s="38"/>
    </row>
    <row r="98" spans="1:12" s="39" customFormat="1">
      <c r="A98" s="31">
        <v>92</v>
      </c>
      <c r="B98" s="33" t="s">
        <v>64</v>
      </c>
      <c r="C98" s="32"/>
      <c r="D98" s="43" t="s">
        <v>296</v>
      </c>
      <c r="E98" s="34"/>
      <c r="F98" s="31" t="s">
        <v>1073</v>
      </c>
      <c r="G98" s="32" t="s">
        <v>942</v>
      </c>
      <c r="H98" s="32">
        <v>16</v>
      </c>
      <c r="I98" s="37"/>
      <c r="J98" s="37">
        <v>14620</v>
      </c>
      <c r="K98" s="37">
        <f t="shared" si="1"/>
        <v>233920</v>
      </c>
      <c r="L98" s="38"/>
    </row>
    <row r="99" spans="1:12" s="39" customFormat="1">
      <c r="A99" s="31">
        <v>93</v>
      </c>
      <c r="B99" s="33" t="s">
        <v>1130</v>
      </c>
      <c r="C99" s="32"/>
      <c r="D99" s="43" t="s">
        <v>927</v>
      </c>
      <c r="E99" s="34"/>
      <c r="F99" s="31" t="s">
        <v>926</v>
      </c>
      <c r="G99" s="32" t="s">
        <v>942</v>
      </c>
      <c r="H99" s="32">
        <v>2</v>
      </c>
      <c r="I99" s="37"/>
      <c r="J99" s="37">
        <v>15100</v>
      </c>
      <c r="K99" s="37">
        <f t="shared" si="1"/>
        <v>30200</v>
      </c>
      <c r="L99" s="38"/>
    </row>
    <row r="100" spans="1:12" s="39" customFormat="1">
      <c r="A100" s="31">
        <v>94</v>
      </c>
      <c r="B100" s="75" t="s">
        <v>1114</v>
      </c>
      <c r="C100" s="44"/>
      <c r="D100" s="72" t="s">
        <v>948</v>
      </c>
      <c r="E100" s="71"/>
      <c r="F100" s="60" t="s">
        <v>1062</v>
      </c>
      <c r="G100" s="60" t="s">
        <v>942</v>
      </c>
      <c r="H100" s="60">
        <v>62</v>
      </c>
      <c r="I100" s="48"/>
      <c r="J100" s="48">
        <v>6130</v>
      </c>
      <c r="K100" s="37">
        <f t="shared" si="1"/>
        <v>380060</v>
      </c>
      <c r="L100" s="38"/>
    </row>
    <row r="101" spans="1:12" s="39" customFormat="1">
      <c r="A101" s="31">
        <v>95</v>
      </c>
      <c r="B101" s="108" t="s">
        <v>1112</v>
      </c>
      <c r="C101" s="57"/>
      <c r="D101" s="41" t="s">
        <v>946</v>
      </c>
      <c r="E101" s="57"/>
      <c r="F101" s="57" t="s">
        <v>962</v>
      </c>
      <c r="G101" s="59" t="s">
        <v>942</v>
      </c>
      <c r="H101" s="57">
        <v>46</v>
      </c>
      <c r="I101" s="37"/>
      <c r="J101" s="37">
        <v>6870</v>
      </c>
      <c r="K101" s="37">
        <f t="shared" si="1"/>
        <v>316020</v>
      </c>
      <c r="L101" s="38"/>
    </row>
    <row r="102" spans="1:12" s="39" customFormat="1">
      <c r="A102" s="31">
        <v>96</v>
      </c>
      <c r="B102" s="108" t="s">
        <v>1066</v>
      </c>
      <c r="C102" s="57"/>
      <c r="D102" s="41" t="s">
        <v>943</v>
      </c>
      <c r="E102" s="57"/>
      <c r="F102" s="57" t="s">
        <v>956</v>
      </c>
      <c r="G102" s="59" t="s">
        <v>942</v>
      </c>
      <c r="H102" s="57">
        <v>76</v>
      </c>
      <c r="I102" s="37"/>
      <c r="J102" s="37">
        <v>5820</v>
      </c>
      <c r="K102" s="37">
        <f t="shared" si="1"/>
        <v>442320</v>
      </c>
      <c r="L102" s="38"/>
    </row>
    <row r="103" spans="1:12" s="39" customFormat="1">
      <c r="A103" s="31">
        <v>97</v>
      </c>
      <c r="B103" s="33" t="s">
        <v>1066</v>
      </c>
      <c r="C103" s="32"/>
      <c r="D103" s="43" t="s">
        <v>1221</v>
      </c>
      <c r="E103" s="34"/>
      <c r="F103" s="31" t="s">
        <v>957</v>
      </c>
      <c r="G103" s="32" t="s">
        <v>942</v>
      </c>
      <c r="H103" s="32">
        <v>2</v>
      </c>
      <c r="I103" s="37"/>
      <c r="J103" s="37">
        <v>5310</v>
      </c>
      <c r="K103" s="37">
        <f t="shared" si="1"/>
        <v>10620</v>
      </c>
      <c r="L103" s="38"/>
    </row>
    <row r="104" spans="1:12" s="39" customFormat="1">
      <c r="A104" s="31">
        <v>98</v>
      </c>
      <c r="B104" s="33" t="s">
        <v>1115</v>
      </c>
      <c r="C104" s="32"/>
      <c r="D104" s="33" t="s">
        <v>949</v>
      </c>
      <c r="E104" s="34"/>
      <c r="F104" s="35" t="s">
        <v>1064</v>
      </c>
      <c r="G104" s="32" t="s">
        <v>942</v>
      </c>
      <c r="H104" s="32">
        <v>26</v>
      </c>
      <c r="I104" s="37"/>
      <c r="J104" s="37">
        <v>7330</v>
      </c>
      <c r="K104" s="37">
        <f t="shared" si="1"/>
        <v>190580</v>
      </c>
      <c r="L104" s="38"/>
    </row>
    <row r="105" spans="1:12" s="39" customFormat="1">
      <c r="A105" s="31">
        <v>99</v>
      </c>
      <c r="B105" s="72" t="s">
        <v>297</v>
      </c>
      <c r="C105" s="71"/>
      <c r="D105" s="72" t="s">
        <v>298</v>
      </c>
      <c r="E105" s="71"/>
      <c r="F105" s="60" t="s">
        <v>928</v>
      </c>
      <c r="G105" s="60" t="s">
        <v>942</v>
      </c>
      <c r="H105" s="60">
        <v>4</v>
      </c>
      <c r="I105" s="48"/>
      <c r="J105" s="48">
        <v>14350</v>
      </c>
      <c r="K105" s="37">
        <f t="shared" si="1"/>
        <v>57400</v>
      </c>
      <c r="L105" s="38"/>
    </row>
    <row r="106" spans="1:12" s="39" customFormat="1">
      <c r="A106" s="31">
        <v>100</v>
      </c>
      <c r="B106" s="72" t="s">
        <v>64</v>
      </c>
      <c r="C106" s="71"/>
      <c r="D106" s="72" t="s">
        <v>299</v>
      </c>
      <c r="E106" s="71"/>
      <c r="F106" s="60" t="s">
        <v>92</v>
      </c>
      <c r="G106" s="60" t="s">
        <v>942</v>
      </c>
      <c r="H106" s="60">
        <v>45</v>
      </c>
      <c r="I106" s="48"/>
      <c r="J106" s="48">
        <v>28920</v>
      </c>
      <c r="K106" s="37">
        <f t="shared" si="1"/>
        <v>1301400</v>
      </c>
      <c r="L106" s="38"/>
    </row>
    <row r="107" spans="1:12" s="39" customFormat="1">
      <c r="A107" s="31">
        <v>101</v>
      </c>
      <c r="B107" s="72" t="s">
        <v>1146</v>
      </c>
      <c r="C107" s="71"/>
      <c r="D107" s="72" t="s">
        <v>1147</v>
      </c>
      <c r="E107" s="71"/>
      <c r="F107" s="60" t="s">
        <v>1100</v>
      </c>
      <c r="G107" s="60" t="s">
        <v>942</v>
      </c>
      <c r="H107" s="60">
        <v>0</v>
      </c>
      <c r="I107" s="48"/>
      <c r="J107" s="48">
        <v>8550</v>
      </c>
      <c r="K107" s="37">
        <f t="shared" si="1"/>
        <v>0</v>
      </c>
      <c r="L107" s="38"/>
    </row>
    <row r="108" spans="1:12" s="39" customFormat="1">
      <c r="A108" s="31">
        <v>102</v>
      </c>
      <c r="B108" s="72" t="s">
        <v>64</v>
      </c>
      <c r="C108" s="71"/>
      <c r="D108" s="72" t="s">
        <v>300</v>
      </c>
      <c r="E108" s="71"/>
      <c r="F108" s="60" t="s">
        <v>51</v>
      </c>
      <c r="G108" s="60" t="s">
        <v>942</v>
      </c>
      <c r="H108" s="60">
        <v>0</v>
      </c>
      <c r="I108" s="48"/>
      <c r="J108" s="48">
        <v>45110</v>
      </c>
      <c r="K108" s="37">
        <f t="shared" si="1"/>
        <v>0</v>
      </c>
      <c r="L108" s="38"/>
    </row>
    <row r="109" spans="1:12" s="39" customFormat="1">
      <c r="A109" s="31">
        <v>103</v>
      </c>
      <c r="B109" s="33" t="s">
        <v>1149</v>
      </c>
      <c r="C109" s="32"/>
      <c r="D109" s="43" t="s">
        <v>134</v>
      </c>
      <c r="E109" s="32"/>
      <c r="F109" s="31" t="s">
        <v>1212</v>
      </c>
      <c r="G109" s="59" t="s">
        <v>942</v>
      </c>
      <c r="H109" s="32">
        <v>2</v>
      </c>
      <c r="I109" s="37"/>
      <c r="J109" s="37">
        <v>16580</v>
      </c>
      <c r="K109" s="37">
        <f t="shared" si="1"/>
        <v>33160</v>
      </c>
      <c r="L109" s="38"/>
    </row>
    <row r="110" spans="1:12" s="39" customFormat="1">
      <c r="A110" s="31">
        <v>104</v>
      </c>
      <c r="B110" s="33" t="s">
        <v>1067</v>
      </c>
      <c r="C110" s="32"/>
      <c r="D110" s="55" t="s">
        <v>301</v>
      </c>
      <c r="E110" s="61"/>
      <c r="F110" s="54" t="s">
        <v>1197</v>
      </c>
      <c r="G110" s="59" t="s">
        <v>942</v>
      </c>
      <c r="H110" s="32">
        <v>84</v>
      </c>
      <c r="I110" s="37"/>
      <c r="J110" s="37">
        <v>6910</v>
      </c>
      <c r="K110" s="37">
        <f t="shared" si="1"/>
        <v>580440</v>
      </c>
      <c r="L110" s="38"/>
    </row>
    <row r="111" spans="1:12" s="39" customFormat="1">
      <c r="A111" s="31">
        <v>105</v>
      </c>
      <c r="B111" s="33" t="s">
        <v>1149</v>
      </c>
      <c r="C111" s="32"/>
      <c r="D111" s="43" t="s">
        <v>575</v>
      </c>
      <c r="E111" s="34"/>
      <c r="F111" s="31" t="s">
        <v>576</v>
      </c>
      <c r="G111" s="32" t="s">
        <v>942</v>
      </c>
      <c r="H111" s="32">
        <v>2</v>
      </c>
      <c r="I111" s="37"/>
      <c r="J111" s="37">
        <v>8730</v>
      </c>
      <c r="K111" s="37">
        <f t="shared" si="1"/>
        <v>17460</v>
      </c>
      <c r="L111" s="38"/>
    </row>
    <row r="112" spans="1:12" s="39" customFormat="1">
      <c r="A112" s="31">
        <v>106</v>
      </c>
      <c r="B112" s="33" t="s">
        <v>64</v>
      </c>
      <c r="C112" s="32"/>
      <c r="D112" s="43" t="s">
        <v>302</v>
      </c>
      <c r="E112" s="34"/>
      <c r="F112" s="31" t="s">
        <v>749</v>
      </c>
      <c r="G112" s="32" t="s">
        <v>942</v>
      </c>
      <c r="H112" s="32">
        <v>6</v>
      </c>
      <c r="I112" s="37"/>
      <c r="J112" s="37">
        <v>70420</v>
      </c>
      <c r="K112" s="37">
        <f t="shared" si="1"/>
        <v>422520</v>
      </c>
      <c r="L112" s="38"/>
    </row>
    <row r="113" spans="1:12" s="39" customFormat="1">
      <c r="A113" s="31">
        <v>107</v>
      </c>
      <c r="B113" s="33" t="s">
        <v>1067</v>
      </c>
      <c r="C113" s="32"/>
      <c r="D113" s="43" t="s">
        <v>767</v>
      </c>
      <c r="E113" s="34"/>
      <c r="F113" s="32" t="s">
        <v>768</v>
      </c>
      <c r="G113" s="32" t="s">
        <v>942</v>
      </c>
      <c r="H113" s="32">
        <v>18</v>
      </c>
      <c r="I113" s="37"/>
      <c r="J113" s="37">
        <v>15240</v>
      </c>
      <c r="K113" s="37">
        <f t="shared" si="1"/>
        <v>274320</v>
      </c>
      <c r="L113" s="38"/>
    </row>
    <row r="114" spans="1:12" s="39" customFormat="1">
      <c r="A114" s="31">
        <v>108</v>
      </c>
      <c r="B114" s="55" t="s">
        <v>1112</v>
      </c>
      <c r="C114" s="61"/>
      <c r="D114" s="55" t="s">
        <v>303</v>
      </c>
      <c r="E114" s="61"/>
      <c r="F114" s="54" t="s">
        <v>774</v>
      </c>
      <c r="G114" s="54" t="s">
        <v>942</v>
      </c>
      <c r="H114" s="54">
        <v>12</v>
      </c>
      <c r="I114" s="48"/>
      <c r="J114" s="48">
        <v>37220</v>
      </c>
      <c r="K114" s="37">
        <f t="shared" si="1"/>
        <v>446640</v>
      </c>
      <c r="L114" s="38"/>
    </row>
    <row r="115" spans="1:12" s="39" customFormat="1">
      <c r="A115" s="31">
        <v>109</v>
      </c>
      <c r="B115" s="33" t="s">
        <v>1113</v>
      </c>
      <c r="C115" s="32"/>
      <c r="D115" s="43" t="s">
        <v>775</v>
      </c>
      <c r="E115" s="34"/>
      <c r="F115" s="32" t="s">
        <v>776</v>
      </c>
      <c r="G115" s="32" t="s">
        <v>942</v>
      </c>
      <c r="H115" s="32">
        <v>12</v>
      </c>
      <c r="I115" s="37"/>
      <c r="J115" s="37">
        <v>10990</v>
      </c>
      <c r="K115" s="37">
        <f t="shared" si="1"/>
        <v>131880</v>
      </c>
      <c r="L115" s="38"/>
    </row>
    <row r="116" spans="1:12" s="39" customFormat="1">
      <c r="A116" s="31">
        <v>110</v>
      </c>
      <c r="B116" s="75" t="s">
        <v>1066</v>
      </c>
      <c r="C116" s="44"/>
      <c r="D116" s="75" t="s">
        <v>304</v>
      </c>
      <c r="E116" s="44"/>
      <c r="F116" s="31" t="s">
        <v>766</v>
      </c>
      <c r="G116" s="31" t="s">
        <v>942</v>
      </c>
      <c r="H116" s="31">
        <v>18</v>
      </c>
      <c r="I116" s="48"/>
      <c r="J116" s="48">
        <v>32380</v>
      </c>
      <c r="K116" s="37">
        <f t="shared" si="1"/>
        <v>582840</v>
      </c>
      <c r="L116" s="38"/>
    </row>
    <row r="117" spans="1:12" s="39" customFormat="1">
      <c r="A117" s="31">
        <v>111</v>
      </c>
      <c r="B117" s="33" t="s">
        <v>64</v>
      </c>
      <c r="C117" s="32"/>
      <c r="D117" s="41" t="s">
        <v>305</v>
      </c>
      <c r="E117" s="34"/>
      <c r="F117" s="32" t="s">
        <v>925</v>
      </c>
      <c r="G117" s="32" t="s">
        <v>942</v>
      </c>
      <c r="H117" s="32">
        <v>2</v>
      </c>
      <c r="I117" s="37"/>
      <c r="J117" s="37">
        <v>10170</v>
      </c>
      <c r="K117" s="37">
        <f t="shared" si="1"/>
        <v>20340</v>
      </c>
      <c r="L117" s="38"/>
    </row>
    <row r="118" spans="1:12" s="39" customFormat="1">
      <c r="A118" s="31">
        <v>112</v>
      </c>
      <c r="B118" s="33" t="s">
        <v>64</v>
      </c>
      <c r="C118" s="32"/>
      <c r="D118" s="33" t="s">
        <v>306</v>
      </c>
      <c r="E118" s="34"/>
      <c r="F118" s="35" t="s">
        <v>1058</v>
      </c>
      <c r="G118" s="32" t="s">
        <v>942</v>
      </c>
      <c r="H118" s="32">
        <v>64</v>
      </c>
      <c r="I118" s="37"/>
      <c r="J118" s="37">
        <v>12510</v>
      </c>
      <c r="K118" s="37">
        <f t="shared" si="1"/>
        <v>800640</v>
      </c>
      <c r="L118" s="38"/>
    </row>
    <row r="119" spans="1:12" s="39" customFormat="1">
      <c r="A119" s="31">
        <v>113</v>
      </c>
      <c r="B119" s="33" t="s">
        <v>1149</v>
      </c>
      <c r="C119" s="32"/>
      <c r="D119" s="43" t="s">
        <v>950</v>
      </c>
      <c r="E119" s="34"/>
      <c r="F119" s="32" t="s">
        <v>1240</v>
      </c>
      <c r="G119" s="32" t="s">
        <v>942</v>
      </c>
      <c r="H119" s="32">
        <v>86</v>
      </c>
      <c r="I119" s="37"/>
      <c r="J119" s="37">
        <v>3500</v>
      </c>
      <c r="K119" s="37">
        <f t="shared" si="1"/>
        <v>301000</v>
      </c>
      <c r="L119" s="38"/>
    </row>
    <row r="120" spans="1:12" s="39" customFormat="1">
      <c r="A120" s="31">
        <v>114</v>
      </c>
      <c r="B120" s="50" t="s">
        <v>1130</v>
      </c>
      <c r="C120" s="49"/>
      <c r="D120" s="50" t="s">
        <v>307</v>
      </c>
      <c r="E120" s="49"/>
      <c r="F120" s="49" t="s">
        <v>1099</v>
      </c>
      <c r="G120" s="49" t="s">
        <v>942</v>
      </c>
      <c r="H120" s="49">
        <v>0</v>
      </c>
      <c r="I120" s="37"/>
      <c r="J120" s="37">
        <v>9990</v>
      </c>
      <c r="K120" s="37">
        <f t="shared" si="1"/>
        <v>0</v>
      </c>
      <c r="L120" s="38"/>
    </row>
    <row r="121" spans="1:12" s="39" customFormat="1">
      <c r="A121" s="31">
        <v>115</v>
      </c>
      <c r="B121" s="50" t="s">
        <v>1114</v>
      </c>
      <c r="C121" s="49"/>
      <c r="D121" s="50" t="s">
        <v>308</v>
      </c>
      <c r="E121" s="49"/>
      <c r="F121" s="49" t="s">
        <v>1063</v>
      </c>
      <c r="G121" s="49" t="s">
        <v>942</v>
      </c>
      <c r="H121" s="49">
        <v>0</v>
      </c>
      <c r="I121" s="37"/>
      <c r="J121" s="37">
        <v>4930</v>
      </c>
      <c r="K121" s="37">
        <f t="shared" si="1"/>
        <v>0</v>
      </c>
      <c r="L121" s="38"/>
    </row>
    <row r="122" spans="1:12" s="39" customFormat="1">
      <c r="A122" s="31">
        <v>116</v>
      </c>
      <c r="B122" s="33" t="s">
        <v>1114</v>
      </c>
      <c r="C122" s="32"/>
      <c r="D122" s="43" t="s">
        <v>32</v>
      </c>
      <c r="E122" s="34"/>
      <c r="F122" s="32" t="s">
        <v>1053</v>
      </c>
      <c r="G122" s="32" t="s">
        <v>942</v>
      </c>
      <c r="H122" s="32">
        <v>339</v>
      </c>
      <c r="I122" s="37"/>
      <c r="J122" s="37">
        <v>5490</v>
      </c>
      <c r="K122" s="37">
        <f t="shared" si="1"/>
        <v>1861110</v>
      </c>
      <c r="L122" s="38"/>
    </row>
    <row r="123" spans="1:12" s="39" customFormat="1">
      <c r="A123" s="31">
        <v>117</v>
      </c>
      <c r="B123" s="33" t="s">
        <v>1067</v>
      </c>
      <c r="C123" s="32"/>
      <c r="D123" s="33" t="s">
        <v>944</v>
      </c>
      <c r="E123" s="34"/>
      <c r="F123" s="35" t="s">
        <v>959</v>
      </c>
      <c r="G123" s="32" t="s">
        <v>942</v>
      </c>
      <c r="H123" s="32">
        <v>784</v>
      </c>
      <c r="I123" s="37"/>
      <c r="J123" s="37">
        <v>1710</v>
      </c>
      <c r="K123" s="37">
        <f t="shared" si="1"/>
        <v>1340640</v>
      </c>
      <c r="L123" s="38"/>
    </row>
    <row r="124" spans="1:12" s="39" customFormat="1">
      <c r="A124" s="31">
        <v>118</v>
      </c>
      <c r="B124" s="33" t="s">
        <v>1112</v>
      </c>
      <c r="C124" s="32"/>
      <c r="D124" s="33" t="s">
        <v>309</v>
      </c>
      <c r="E124" s="34"/>
      <c r="F124" s="35" t="s">
        <v>1060</v>
      </c>
      <c r="G124" s="32" t="s">
        <v>942</v>
      </c>
      <c r="H124" s="32">
        <v>0</v>
      </c>
      <c r="I124" s="37"/>
      <c r="J124" s="37">
        <v>4790</v>
      </c>
      <c r="K124" s="37">
        <f t="shared" si="1"/>
        <v>0</v>
      </c>
      <c r="L124" s="38"/>
    </row>
    <row r="125" spans="1:12" s="39" customFormat="1">
      <c r="A125" s="31">
        <v>119</v>
      </c>
      <c r="B125" s="33" t="s">
        <v>1112</v>
      </c>
      <c r="C125" s="32"/>
      <c r="D125" s="41" t="s">
        <v>29</v>
      </c>
      <c r="E125" s="34"/>
      <c r="F125" s="32" t="s">
        <v>1050</v>
      </c>
      <c r="G125" s="32" t="s">
        <v>942</v>
      </c>
      <c r="H125" s="32">
        <v>193</v>
      </c>
      <c r="I125" s="37"/>
      <c r="J125" s="37">
        <v>6000</v>
      </c>
      <c r="K125" s="37">
        <f t="shared" si="1"/>
        <v>1158000</v>
      </c>
      <c r="L125" s="38"/>
    </row>
    <row r="126" spans="1:12" s="39" customFormat="1">
      <c r="A126" s="31">
        <v>120</v>
      </c>
      <c r="B126" s="33" t="s">
        <v>1113</v>
      </c>
      <c r="C126" s="32"/>
      <c r="D126" s="33" t="s">
        <v>947</v>
      </c>
      <c r="E126" s="34"/>
      <c r="F126" s="32" t="s">
        <v>1061</v>
      </c>
      <c r="G126" s="32" t="s">
        <v>942</v>
      </c>
      <c r="H126" s="32">
        <v>260</v>
      </c>
      <c r="I126" s="37"/>
      <c r="J126" s="37">
        <v>1470</v>
      </c>
      <c r="K126" s="37">
        <f t="shared" si="1"/>
        <v>382200</v>
      </c>
      <c r="L126" s="38"/>
    </row>
    <row r="127" spans="1:12" s="39" customFormat="1">
      <c r="A127" s="31">
        <v>121</v>
      </c>
      <c r="B127" s="33" t="s">
        <v>1150</v>
      </c>
      <c r="C127" s="32"/>
      <c r="D127" s="33" t="s">
        <v>1151</v>
      </c>
      <c r="E127" s="34"/>
      <c r="F127" s="31" t="s">
        <v>1242</v>
      </c>
      <c r="G127" s="32" t="s">
        <v>942</v>
      </c>
      <c r="H127" s="32">
        <v>0</v>
      </c>
      <c r="I127" s="37"/>
      <c r="J127" s="37">
        <v>2680</v>
      </c>
      <c r="K127" s="37">
        <f t="shared" si="1"/>
        <v>0</v>
      </c>
      <c r="L127" s="38"/>
    </row>
    <row r="128" spans="1:12" s="39" customFormat="1">
      <c r="A128" s="31">
        <v>122</v>
      </c>
      <c r="B128" s="33" t="s">
        <v>1066</v>
      </c>
      <c r="C128" s="32"/>
      <c r="D128" s="43" t="s">
        <v>310</v>
      </c>
      <c r="E128" s="34"/>
      <c r="F128" s="31" t="s">
        <v>958</v>
      </c>
      <c r="G128" s="32" t="s">
        <v>942</v>
      </c>
      <c r="H128" s="32">
        <v>2</v>
      </c>
      <c r="I128" s="37"/>
      <c r="J128" s="37">
        <v>4030</v>
      </c>
      <c r="K128" s="37">
        <f t="shared" si="1"/>
        <v>8060</v>
      </c>
      <c r="L128" s="38"/>
    </row>
    <row r="129" spans="1:12" s="39" customFormat="1">
      <c r="A129" s="31">
        <v>123</v>
      </c>
      <c r="B129" s="33" t="s">
        <v>1066</v>
      </c>
      <c r="C129" s="32"/>
      <c r="D129" s="41" t="s">
        <v>22</v>
      </c>
      <c r="E129" s="34"/>
      <c r="F129" s="32" t="s">
        <v>1046</v>
      </c>
      <c r="G129" s="32" t="s">
        <v>942</v>
      </c>
      <c r="H129" s="32">
        <v>212</v>
      </c>
      <c r="I129" s="37"/>
      <c r="J129" s="37">
        <v>5430</v>
      </c>
      <c r="K129" s="37">
        <f t="shared" si="1"/>
        <v>1151160</v>
      </c>
      <c r="L129" s="38"/>
    </row>
    <row r="130" spans="1:12" s="39" customFormat="1">
      <c r="A130" s="31">
        <v>124</v>
      </c>
      <c r="B130" s="108" t="s">
        <v>1066</v>
      </c>
      <c r="C130" s="57"/>
      <c r="D130" s="76" t="s">
        <v>311</v>
      </c>
      <c r="E130" s="77"/>
      <c r="F130" s="78" t="s">
        <v>1080</v>
      </c>
      <c r="G130" s="32" t="s">
        <v>942</v>
      </c>
      <c r="H130" s="57">
        <v>2</v>
      </c>
      <c r="I130" s="37"/>
      <c r="J130" s="37">
        <v>3630</v>
      </c>
      <c r="K130" s="37">
        <f t="shared" si="1"/>
        <v>7260</v>
      </c>
      <c r="L130" s="38"/>
    </row>
    <row r="131" spans="1:12" s="39" customFormat="1">
      <c r="A131" s="31">
        <v>125</v>
      </c>
      <c r="B131" s="108" t="s">
        <v>1066</v>
      </c>
      <c r="C131" s="57"/>
      <c r="D131" s="76" t="s">
        <v>23</v>
      </c>
      <c r="E131" s="77"/>
      <c r="F131" s="78" t="s">
        <v>1047</v>
      </c>
      <c r="G131" s="32" t="s">
        <v>942</v>
      </c>
      <c r="H131" s="57">
        <v>104</v>
      </c>
      <c r="I131" s="37"/>
      <c r="J131" s="37">
        <v>4790</v>
      </c>
      <c r="K131" s="37">
        <f t="shared" si="1"/>
        <v>498160</v>
      </c>
      <c r="L131" s="38"/>
    </row>
    <row r="132" spans="1:12" s="39" customFormat="1">
      <c r="A132" s="31">
        <v>126</v>
      </c>
      <c r="B132" s="33" t="s">
        <v>24</v>
      </c>
      <c r="C132" s="32"/>
      <c r="D132" s="79" t="s">
        <v>135</v>
      </c>
      <c r="E132" s="80"/>
      <c r="F132" s="80" t="s">
        <v>132</v>
      </c>
      <c r="G132" s="80" t="s">
        <v>942</v>
      </c>
      <c r="H132" s="32">
        <v>4</v>
      </c>
      <c r="I132" s="37"/>
      <c r="J132" s="37">
        <v>1790</v>
      </c>
      <c r="K132" s="37">
        <f t="shared" si="1"/>
        <v>7160</v>
      </c>
      <c r="L132" s="38"/>
    </row>
    <row r="133" spans="1:12" s="39" customFormat="1">
      <c r="A133" s="31">
        <v>127</v>
      </c>
      <c r="B133" s="33" t="s">
        <v>1115</v>
      </c>
      <c r="C133" s="32"/>
      <c r="D133" s="33" t="s">
        <v>312</v>
      </c>
      <c r="E133" s="34"/>
      <c r="F133" s="42" t="s">
        <v>1065</v>
      </c>
      <c r="G133" s="80" t="s">
        <v>942</v>
      </c>
      <c r="H133" s="32">
        <v>0</v>
      </c>
      <c r="I133" s="37"/>
      <c r="J133" s="37">
        <v>5450</v>
      </c>
      <c r="K133" s="37">
        <f t="shared" si="1"/>
        <v>0</v>
      </c>
      <c r="L133" s="38"/>
    </row>
    <row r="134" spans="1:12" s="39" customFormat="1">
      <c r="A134" s="31">
        <v>128</v>
      </c>
      <c r="B134" s="33" t="s">
        <v>1115</v>
      </c>
      <c r="C134" s="32"/>
      <c r="D134" s="43" t="s">
        <v>34</v>
      </c>
      <c r="E134" s="34"/>
      <c r="F134" s="32" t="s">
        <v>1055</v>
      </c>
      <c r="G134" s="32" t="s">
        <v>942</v>
      </c>
      <c r="H134" s="32">
        <v>95</v>
      </c>
      <c r="I134" s="37"/>
      <c r="J134" s="37">
        <v>6590</v>
      </c>
      <c r="K134" s="37">
        <f t="shared" si="1"/>
        <v>626050</v>
      </c>
      <c r="L134" s="38"/>
    </row>
    <row r="135" spans="1:12" s="39" customFormat="1">
      <c r="A135" s="31">
        <v>129</v>
      </c>
      <c r="B135" s="33" t="s">
        <v>39</v>
      </c>
      <c r="C135" s="32"/>
      <c r="D135" s="45" t="s">
        <v>40</v>
      </c>
      <c r="E135" s="31"/>
      <c r="F135" s="42" t="s">
        <v>41</v>
      </c>
      <c r="G135" s="46" t="s">
        <v>942</v>
      </c>
      <c r="H135" s="32">
        <v>28</v>
      </c>
      <c r="I135" s="37"/>
      <c r="J135" s="37">
        <v>11930</v>
      </c>
      <c r="K135" s="37">
        <f t="shared" si="1"/>
        <v>334040</v>
      </c>
      <c r="L135" s="38"/>
    </row>
    <row r="136" spans="1:12" s="39" customFormat="1">
      <c r="A136" s="31">
        <v>130</v>
      </c>
      <c r="B136" s="33" t="s">
        <v>1114</v>
      </c>
      <c r="C136" s="32"/>
      <c r="D136" s="41" t="s">
        <v>33</v>
      </c>
      <c r="E136" s="34"/>
      <c r="F136" s="32" t="s">
        <v>91</v>
      </c>
      <c r="G136" s="32" t="s">
        <v>942</v>
      </c>
      <c r="H136" s="32">
        <v>172</v>
      </c>
      <c r="I136" s="37"/>
      <c r="J136" s="37">
        <v>8590</v>
      </c>
      <c r="K136" s="37">
        <f t="shared" ref="K136:K199" si="2">H136*J136</f>
        <v>1477480</v>
      </c>
      <c r="L136" s="38"/>
    </row>
    <row r="137" spans="1:12" s="39" customFormat="1">
      <c r="A137" s="31">
        <v>131</v>
      </c>
      <c r="B137" s="33" t="s">
        <v>1112</v>
      </c>
      <c r="C137" s="32"/>
      <c r="D137" s="41" t="s">
        <v>30</v>
      </c>
      <c r="E137" s="34"/>
      <c r="F137" s="32" t="s">
        <v>1051</v>
      </c>
      <c r="G137" s="32" t="s">
        <v>942</v>
      </c>
      <c r="H137" s="32">
        <v>76</v>
      </c>
      <c r="I137" s="37"/>
      <c r="J137" s="37">
        <v>8250</v>
      </c>
      <c r="K137" s="37">
        <f t="shared" si="2"/>
        <v>627000</v>
      </c>
      <c r="L137" s="38"/>
    </row>
    <row r="138" spans="1:12" s="39" customFormat="1">
      <c r="A138" s="31">
        <v>132</v>
      </c>
      <c r="B138" s="50" t="s">
        <v>1066</v>
      </c>
      <c r="C138" s="49"/>
      <c r="D138" s="50" t="s">
        <v>26</v>
      </c>
      <c r="E138" s="51"/>
      <c r="F138" s="49" t="s">
        <v>1048</v>
      </c>
      <c r="G138" s="49" t="s">
        <v>942</v>
      </c>
      <c r="H138" s="49">
        <v>140</v>
      </c>
      <c r="I138" s="37"/>
      <c r="J138" s="37">
        <v>7290</v>
      </c>
      <c r="K138" s="37">
        <f t="shared" si="2"/>
        <v>1020600</v>
      </c>
      <c r="L138" s="38"/>
    </row>
    <row r="139" spans="1:12" s="39" customFormat="1">
      <c r="A139" s="31">
        <v>133</v>
      </c>
      <c r="B139" s="50" t="s">
        <v>1066</v>
      </c>
      <c r="C139" s="49"/>
      <c r="D139" s="50" t="s">
        <v>27</v>
      </c>
      <c r="E139" s="51"/>
      <c r="F139" s="49" t="s">
        <v>28</v>
      </c>
      <c r="G139" s="49" t="s">
        <v>942</v>
      </c>
      <c r="H139" s="49">
        <v>24</v>
      </c>
      <c r="I139" s="37"/>
      <c r="J139" s="37">
        <v>6450</v>
      </c>
      <c r="K139" s="37">
        <f t="shared" si="2"/>
        <v>154800</v>
      </c>
      <c r="L139" s="38"/>
    </row>
    <row r="140" spans="1:12" s="39" customFormat="1">
      <c r="A140" s="31">
        <v>134</v>
      </c>
      <c r="B140" s="33" t="s">
        <v>1115</v>
      </c>
      <c r="C140" s="32"/>
      <c r="D140" s="43" t="s">
        <v>35</v>
      </c>
      <c r="E140" s="34"/>
      <c r="F140" s="32" t="s">
        <v>36</v>
      </c>
      <c r="G140" s="32" t="s">
        <v>942</v>
      </c>
      <c r="H140" s="32">
        <v>68</v>
      </c>
      <c r="I140" s="37"/>
      <c r="J140" s="37">
        <v>9820</v>
      </c>
      <c r="K140" s="37">
        <f t="shared" si="2"/>
        <v>667760</v>
      </c>
      <c r="L140" s="38"/>
    </row>
    <row r="141" spans="1:12" s="39" customFormat="1">
      <c r="A141" s="31">
        <v>135</v>
      </c>
      <c r="B141" s="33" t="s">
        <v>39</v>
      </c>
      <c r="C141" s="32"/>
      <c r="D141" s="43" t="s">
        <v>42</v>
      </c>
      <c r="E141" s="34"/>
      <c r="F141" s="32" t="s">
        <v>43</v>
      </c>
      <c r="G141" s="32" t="s">
        <v>942</v>
      </c>
      <c r="H141" s="32">
        <v>20</v>
      </c>
      <c r="I141" s="37"/>
      <c r="J141" s="37">
        <v>16350</v>
      </c>
      <c r="K141" s="37">
        <f t="shared" si="2"/>
        <v>327000</v>
      </c>
      <c r="L141" s="38"/>
    </row>
    <row r="142" spans="1:12" s="39" customFormat="1">
      <c r="A142" s="31">
        <v>136</v>
      </c>
      <c r="B142" s="108" t="s">
        <v>1146</v>
      </c>
      <c r="C142" s="57"/>
      <c r="D142" s="41" t="s">
        <v>44</v>
      </c>
      <c r="E142" s="58"/>
      <c r="F142" s="57" t="s">
        <v>1144</v>
      </c>
      <c r="G142" s="57" t="s">
        <v>942</v>
      </c>
      <c r="H142" s="57">
        <v>44</v>
      </c>
      <c r="I142" s="37"/>
      <c r="J142" s="37">
        <v>5940</v>
      </c>
      <c r="K142" s="37">
        <f t="shared" si="2"/>
        <v>261360</v>
      </c>
      <c r="L142" s="38"/>
    </row>
    <row r="143" spans="1:12" s="39" customFormat="1">
      <c r="A143" s="31">
        <v>137</v>
      </c>
      <c r="B143" s="108" t="s">
        <v>48</v>
      </c>
      <c r="C143" s="57"/>
      <c r="D143" s="41" t="s">
        <v>49</v>
      </c>
      <c r="E143" s="58"/>
      <c r="F143" s="57" t="s">
        <v>50</v>
      </c>
      <c r="G143" s="57" t="s">
        <v>942</v>
      </c>
      <c r="H143" s="57">
        <v>36</v>
      </c>
      <c r="I143" s="37"/>
      <c r="J143" s="37">
        <v>10640</v>
      </c>
      <c r="K143" s="37">
        <f t="shared" si="2"/>
        <v>383040</v>
      </c>
      <c r="L143" s="38"/>
    </row>
    <row r="144" spans="1:12" s="39" customFormat="1">
      <c r="A144" s="31">
        <v>138</v>
      </c>
      <c r="B144" s="33" t="s">
        <v>64</v>
      </c>
      <c r="C144" s="32"/>
      <c r="D144" s="33" t="s">
        <v>313</v>
      </c>
      <c r="E144" s="34"/>
      <c r="F144" s="35" t="s">
        <v>1230</v>
      </c>
      <c r="G144" s="32" t="s">
        <v>942</v>
      </c>
      <c r="H144" s="32">
        <v>0</v>
      </c>
      <c r="I144" s="37"/>
      <c r="J144" s="37">
        <v>16100</v>
      </c>
      <c r="K144" s="37">
        <f t="shared" si="2"/>
        <v>0</v>
      </c>
      <c r="L144" s="38"/>
    </row>
    <row r="145" spans="1:12" s="39" customFormat="1">
      <c r="A145" s="31">
        <v>139</v>
      </c>
      <c r="B145" s="33" t="s">
        <v>64</v>
      </c>
      <c r="C145" s="32"/>
      <c r="D145" s="33" t="s">
        <v>314</v>
      </c>
      <c r="E145" s="34"/>
      <c r="F145" s="42" t="s">
        <v>1057</v>
      </c>
      <c r="G145" s="32" t="s">
        <v>942</v>
      </c>
      <c r="H145" s="32">
        <v>40</v>
      </c>
      <c r="I145" s="37"/>
      <c r="J145" s="37">
        <v>20170</v>
      </c>
      <c r="K145" s="37">
        <f t="shared" si="2"/>
        <v>806800</v>
      </c>
      <c r="L145" s="38"/>
    </row>
    <row r="146" spans="1:12" s="39" customFormat="1">
      <c r="A146" s="31">
        <v>140</v>
      </c>
      <c r="B146" s="33" t="s">
        <v>1149</v>
      </c>
      <c r="C146" s="32"/>
      <c r="D146" s="33" t="s">
        <v>951</v>
      </c>
      <c r="E146" s="34"/>
      <c r="F146" s="35" t="s">
        <v>1241</v>
      </c>
      <c r="G146" s="32" t="s">
        <v>942</v>
      </c>
      <c r="H146" s="32">
        <v>39</v>
      </c>
      <c r="I146" s="37"/>
      <c r="J146" s="37">
        <v>4990</v>
      </c>
      <c r="K146" s="37">
        <f t="shared" si="2"/>
        <v>194610</v>
      </c>
      <c r="L146" s="38"/>
    </row>
    <row r="147" spans="1:12" s="39" customFormat="1">
      <c r="A147" s="31">
        <v>141</v>
      </c>
      <c r="B147" s="33" t="s">
        <v>1114</v>
      </c>
      <c r="C147" s="32"/>
      <c r="D147" s="33" t="s">
        <v>315</v>
      </c>
      <c r="E147" s="34"/>
      <c r="F147" s="35" t="s">
        <v>1054</v>
      </c>
      <c r="G147" s="32" t="s">
        <v>942</v>
      </c>
      <c r="H147" s="32">
        <v>69</v>
      </c>
      <c r="I147" s="37"/>
      <c r="J147" s="37">
        <v>8570</v>
      </c>
      <c r="K147" s="37">
        <f t="shared" si="2"/>
        <v>591330</v>
      </c>
      <c r="L147" s="38"/>
    </row>
    <row r="148" spans="1:12" s="39" customFormat="1">
      <c r="A148" s="31">
        <v>142</v>
      </c>
      <c r="B148" s="33" t="s">
        <v>1067</v>
      </c>
      <c r="C148" s="32"/>
      <c r="D148" s="41" t="s">
        <v>945</v>
      </c>
      <c r="E148" s="34"/>
      <c r="F148" s="32" t="s">
        <v>961</v>
      </c>
      <c r="G148" s="32" t="s">
        <v>942</v>
      </c>
      <c r="H148" s="32">
        <v>591</v>
      </c>
      <c r="I148" s="37"/>
      <c r="J148" s="37">
        <v>2940</v>
      </c>
      <c r="K148" s="37">
        <f t="shared" si="2"/>
        <v>1737540</v>
      </c>
      <c r="L148" s="38"/>
    </row>
    <row r="149" spans="1:12" s="39" customFormat="1">
      <c r="A149" s="31">
        <v>143</v>
      </c>
      <c r="B149" s="33" t="s">
        <v>1112</v>
      </c>
      <c r="C149" s="32"/>
      <c r="D149" s="41" t="s">
        <v>316</v>
      </c>
      <c r="E149" s="34"/>
      <c r="F149" s="32" t="s">
        <v>1052</v>
      </c>
      <c r="G149" s="32" t="s">
        <v>942</v>
      </c>
      <c r="H149" s="32">
        <v>47</v>
      </c>
      <c r="I149" s="37"/>
      <c r="J149" s="37">
        <v>7460</v>
      </c>
      <c r="K149" s="37">
        <f t="shared" si="2"/>
        <v>350620</v>
      </c>
      <c r="L149" s="38"/>
    </row>
    <row r="150" spans="1:12" s="39" customFormat="1">
      <c r="A150" s="31">
        <v>144</v>
      </c>
      <c r="B150" s="33" t="s">
        <v>1113</v>
      </c>
      <c r="C150" s="32"/>
      <c r="D150" s="33" t="s">
        <v>31</v>
      </c>
      <c r="E150" s="34"/>
      <c r="F150" s="35" t="s">
        <v>1232</v>
      </c>
      <c r="G150" s="32" t="s">
        <v>942</v>
      </c>
      <c r="H150" s="32">
        <v>143</v>
      </c>
      <c r="I150" s="37"/>
      <c r="J150" s="37">
        <v>2300</v>
      </c>
      <c r="K150" s="37">
        <f t="shared" si="2"/>
        <v>328900</v>
      </c>
      <c r="L150" s="38"/>
    </row>
    <row r="151" spans="1:12" s="39" customFormat="1">
      <c r="A151" s="31">
        <v>145</v>
      </c>
      <c r="B151" s="33" t="s">
        <v>1150</v>
      </c>
      <c r="C151" s="32"/>
      <c r="D151" s="33" t="s">
        <v>872</v>
      </c>
      <c r="E151" s="34"/>
      <c r="F151" s="35" t="s">
        <v>1225</v>
      </c>
      <c r="G151" s="32" t="s">
        <v>942</v>
      </c>
      <c r="H151" s="32">
        <v>0</v>
      </c>
      <c r="I151" s="37"/>
      <c r="J151" s="37">
        <v>5160</v>
      </c>
      <c r="K151" s="37">
        <f t="shared" si="2"/>
        <v>0</v>
      </c>
      <c r="L151" s="38"/>
    </row>
    <row r="152" spans="1:12" s="39" customFormat="1">
      <c r="A152" s="31">
        <v>146</v>
      </c>
      <c r="B152" s="33" t="s">
        <v>1066</v>
      </c>
      <c r="C152" s="32"/>
      <c r="D152" s="33" t="s">
        <v>317</v>
      </c>
      <c r="E152" s="34"/>
      <c r="F152" s="35" t="s">
        <v>960</v>
      </c>
      <c r="G152" s="32" t="s">
        <v>942</v>
      </c>
      <c r="H152" s="32">
        <v>0</v>
      </c>
      <c r="I152" s="37"/>
      <c r="J152" s="37">
        <v>5180</v>
      </c>
      <c r="K152" s="37">
        <f t="shared" si="2"/>
        <v>0</v>
      </c>
      <c r="L152" s="38"/>
    </row>
    <row r="153" spans="1:12" s="39" customFormat="1">
      <c r="A153" s="31">
        <v>147</v>
      </c>
      <c r="B153" s="33" t="s">
        <v>1066</v>
      </c>
      <c r="C153" s="32"/>
      <c r="D153" s="33" t="s">
        <v>318</v>
      </c>
      <c r="E153" s="34"/>
      <c r="F153" s="35" t="s">
        <v>1049</v>
      </c>
      <c r="G153" s="32" t="s">
        <v>942</v>
      </c>
      <c r="H153" s="32">
        <v>74</v>
      </c>
      <c r="I153" s="37"/>
      <c r="J153" s="37">
        <v>6670</v>
      </c>
      <c r="K153" s="37">
        <f t="shared" si="2"/>
        <v>493580</v>
      </c>
      <c r="L153" s="38"/>
    </row>
    <row r="154" spans="1:12" s="39" customFormat="1">
      <c r="A154" s="31">
        <v>148</v>
      </c>
      <c r="B154" s="33" t="s">
        <v>1115</v>
      </c>
      <c r="C154" s="32"/>
      <c r="D154" s="33" t="s">
        <v>319</v>
      </c>
      <c r="E154" s="34"/>
      <c r="F154" s="35" t="s">
        <v>1056</v>
      </c>
      <c r="G154" s="32" t="s">
        <v>942</v>
      </c>
      <c r="H154" s="32">
        <v>25</v>
      </c>
      <c r="I154" s="37"/>
      <c r="J154" s="37">
        <v>9500</v>
      </c>
      <c r="K154" s="37">
        <f t="shared" si="2"/>
        <v>237500</v>
      </c>
      <c r="L154" s="38"/>
    </row>
    <row r="155" spans="1:12" s="39" customFormat="1">
      <c r="A155" s="31">
        <v>149</v>
      </c>
      <c r="B155" s="33" t="s">
        <v>39</v>
      </c>
      <c r="C155" s="32"/>
      <c r="D155" s="33" t="s">
        <v>67</v>
      </c>
      <c r="E155" s="34"/>
      <c r="F155" s="42" t="s">
        <v>68</v>
      </c>
      <c r="G155" s="32" t="s">
        <v>942</v>
      </c>
      <c r="H155" s="32">
        <v>27</v>
      </c>
      <c r="I155" s="37"/>
      <c r="J155" s="37">
        <v>19480</v>
      </c>
      <c r="K155" s="37">
        <f t="shared" si="2"/>
        <v>525960</v>
      </c>
      <c r="L155" s="38"/>
    </row>
    <row r="156" spans="1:12" s="39" customFormat="1">
      <c r="A156" s="31">
        <v>150</v>
      </c>
      <c r="B156" s="33" t="s">
        <v>320</v>
      </c>
      <c r="C156" s="32"/>
      <c r="D156" s="43" t="s">
        <v>321</v>
      </c>
      <c r="E156" s="34"/>
      <c r="F156" s="34" t="s">
        <v>691</v>
      </c>
      <c r="G156" s="32" t="s">
        <v>942</v>
      </c>
      <c r="H156" s="32">
        <v>12</v>
      </c>
      <c r="I156" s="37"/>
      <c r="J156" s="37">
        <v>9360</v>
      </c>
      <c r="K156" s="37">
        <f t="shared" si="2"/>
        <v>112320</v>
      </c>
      <c r="L156" s="38"/>
    </row>
    <row r="157" spans="1:12" s="39" customFormat="1">
      <c r="A157" s="31">
        <v>151</v>
      </c>
      <c r="B157" s="33" t="s">
        <v>573</v>
      </c>
      <c r="C157" s="32"/>
      <c r="D157" s="43" t="s">
        <v>322</v>
      </c>
      <c r="E157" s="34"/>
      <c r="F157" s="34" t="s">
        <v>848</v>
      </c>
      <c r="G157" s="32" t="s">
        <v>942</v>
      </c>
      <c r="H157" s="32">
        <v>12</v>
      </c>
      <c r="I157" s="37"/>
      <c r="J157" s="37">
        <v>10990</v>
      </c>
      <c r="K157" s="37">
        <f t="shared" si="2"/>
        <v>131880</v>
      </c>
      <c r="L157" s="38"/>
    </row>
    <row r="158" spans="1:12" s="39" customFormat="1">
      <c r="A158" s="31">
        <v>152</v>
      </c>
      <c r="B158" s="33" t="s">
        <v>1146</v>
      </c>
      <c r="C158" s="32"/>
      <c r="D158" s="43" t="s">
        <v>323</v>
      </c>
      <c r="E158" s="34"/>
      <c r="F158" s="34" t="s">
        <v>324</v>
      </c>
      <c r="G158" s="32" t="s">
        <v>942</v>
      </c>
      <c r="H158" s="32">
        <v>0</v>
      </c>
      <c r="I158" s="37"/>
      <c r="J158" s="37">
        <v>3860</v>
      </c>
      <c r="K158" s="37">
        <f t="shared" si="2"/>
        <v>0</v>
      </c>
      <c r="L158" s="38"/>
    </row>
    <row r="159" spans="1:12" s="39" customFormat="1">
      <c r="A159" s="31">
        <v>153</v>
      </c>
      <c r="B159" s="33" t="s">
        <v>24</v>
      </c>
      <c r="C159" s="32"/>
      <c r="D159" s="41" t="s">
        <v>569</v>
      </c>
      <c r="E159" s="34"/>
      <c r="F159" s="46" t="s">
        <v>136</v>
      </c>
      <c r="G159" s="32" t="s">
        <v>942</v>
      </c>
      <c r="H159" s="32">
        <v>4</v>
      </c>
      <c r="I159" s="37"/>
      <c r="J159" s="37">
        <v>3160</v>
      </c>
      <c r="K159" s="37">
        <f t="shared" si="2"/>
        <v>12640</v>
      </c>
      <c r="L159" s="38"/>
    </row>
    <row r="160" spans="1:12" s="39" customFormat="1">
      <c r="A160" s="31">
        <v>154</v>
      </c>
      <c r="B160" s="33" t="s">
        <v>24</v>
      </c>
      <c r="C160" s="32"/>
      <c r="D160" s="41" t="s">
        <v>25</v>
      </c>
      <c r="E160" s="34"/>
      <c r="F160" s="46" t="s">
        <v>1231</v>
      </c>
      <c r="G160" s="32" t="s">
        <v>942</v>
      </c>
      <c r="H160" s="32">
        <v>8</v>
      </c>
      <c r="I160" s="37"/>
      <c r="J160" s="37">
        <v>1790</v>
      </c>
      <c r="K160" s="37">
        <f t="shared" si="2"/>
        <v>14320</v>
      </c>
      <c r="L160" s="38"/>
    </row>
    <row r="161" spans="1:12" s="39" customFormat="1">
      <c r="A161" s="31">
        <v>155</v>
      </c>
      <c r="B161" s="33" t="s">
        <v>325</v>
      </c>
      <c r="C161" s="32"/>
      <c r="D161" s="41" t="s">
        <v>819</v>
      </c>
      <c r="E161" s="34"/>
      <c r="F161" s="46" t="s">
        <v>820</v>
      </c>
      <c r="G161" s="32" t="s">
        <v>942</v>
      </c>
      <c r="H161" s="32">
        <v>0</v>
      </c>
      <c r="I161" s="37"/>
      <c r="J161" s="37">
        <v>2010</v>
      </c>
      <c r="K161" s="37">
        <f t="shared" si="2"/>
        <v>0</v>
      </c>
      <c r="L161" s="38"/>
    </row>
    <row r="162" spans="1:12" s="39" customFormat="1">
      <c r="A162" s="31">
        <v>156</v>
      </c>
      <c r="B162" s="33" t="s">
        <v>873</v>
      </c>
      <c r="C162" s="32"/>
      <c r="D162" s="41" t="s">
        <v>815</v>
      </c>
      <c r="E162" s="34"/>
      <c r="F162" s="46" t="s">
        <v>816</v>
      </c>
      <c r="G162" s="32" t="s">
        <v>942</v>
      </c>
      <c r="H162" s="32">
        <v>36</v>
      </c>
      <c r="I162" s="37"/>
      <c r="J162" s="37">
        <v>7050</v>
      </c>
      <c r="K162" s="37">
        <f t="shared" si="2"/>
        <v>253800</v>
      </c>
      <c r="L162" s="38"/>
    </row>
    <row r="163" spans="1:12" s="39" customFormat="1">
      <c r="A163" s="31">
        <v>157</v>
      </c>
      <c r="B163" s="33" t="s">
        <v>45</v>
      </c>
      <c r="C163" s="32"/>
      <c r="D163" s="33" t="s">
        <v>326</v>
      </c>
      <c r="E163" s="34"/>
      <c r="F163" s="35" t="s">
        <v>796</v>
      </c>
      <c r="G163" s="32" t="s">
        <v>942</v>
      </c>
      <c r="H163" s="32">
        <v>18</v>
      </c>
      <c r="I163" s="37"/>
      <c r="J163" s="37">
        <v>38030</v>
      </c>
      <c r="K163" s="37">
        <f t="shared" si="2"/>
        <v>684540</v>
      </c>
      <c r="L163" s="38"/>
    </row>
    <row r="164" spans="1:12" s="39" customFormat="1">
      <c r="A164" s="31">
        <v>158</v>
      </c>
      <c r="B164" s="33" t="s">
        <v>45</v>
      </c>
      <c r="C164" s="32"/>
      <c r="D164" s="43" t="s">
        <v>46</v>
      </c>
      <c r="E164" s="34"/>
      <c r="F164" s="31" t="s">
        <v>47</v>
      </c>
      <c r="G164" s="32" t="s">
        <v>942</v>
      </c>
      <c r="H164" s="32">
        <v>40</v>
      </c>
      <c r="I164" s="37"/>
      <c r="J164" s="37">
        <v>8570</v>
      </c>
      <c r="K164" s="37">
        <f t="shared" si="2"/>
        <v>342800</v>
      </c>
      <c r="L164" s="38"/>
    </row>
    <row r="165" spans="1:12" s="39" customFormat="1">
      <c r="A165" s="31">
        <v>159</v>
      </c>
      <c r="B165" s="55" t="s">
        <v>327</v>
      </c>
      <c r="C165" s="61"/>
      <c r="D165" s="72" t="s">
        <v>328</v>
      </c>
      <c r="E165" s="71"/>
      <c r="F165" s="60" t="s">
        <v>842</v>
      </c>
      <c r="G165" s="60" t="s">
        <v>942</v>
      </c>
      <c r="H165" s="60">
        <v>3</v>
      </c>
      <c r="I165" s="48"/>
      <c r="J165" s="48">
        <v>27980</v>
      </c>
      <c r="K165" s="37">
        <f t="shared" si="2"/>
        <v>83940</v>
      </c>
      <c r="L165" s="38"/>
    </row>
    <row r="166" spans="1:12" s="39" customFormat="1">
      <c r="A166" s="31">
        <v>160</v>
      </c>
      <c r="B166" s="50" t="s">
        <v>1130</v>
      </c>
      <c r="C166" s="49"/>
      <c r="D166" s="50" t="s">
        <v>37</v>
      </c>
      <c r="E166" s="51"/>
      <c r="F166" s="49" t="s">
        <v>38</v>
      </c>
      <c r="G166" s="49" t="s">
        <v>942</v>
      </c>
      <c r="H166" s="49">
        <v>16</v>
      </c>
      <c r="I166" s="37"/>
      <c r="J166" s="37">
        <v>16200</v>
      </c>
      <c r="K166" s="37">
        <f t="shared" si="2"/>
        <v>259200</v>
      </c>
      <c r="L166" s="38"/>
    </row>
    <row r="167" spans="1:12" s="39" customFormat="1">
      <c r="A167" s="31">
        <v>161</v>
      </c>
      <c r="B167" s="50" t="s">
        <v>1114</v>
      </c>
      <c r="C167" s="49"/>
      <c r="D167" s="50" t="s">
        <v>329</v>
      </c>
      <c r="E167" s="51"/>
      <c r="F167" s="49" t="s">
        <v>783</v>
      </c>
      <c r="G167" s="49" t="s">
        <v>942</v>
      </c>
      <c r="H167" s="49">
        <v>9</v>
      </c>
      <c r="I167" s="37"/>
      <c r="J167" s="37">
        <v>55390</v>
      </c>
      <c r="K167" s="37">
        <f t="shared" si="2"/>
        <v>498510</v>
      </c>
      <c r="L167" s="38"/>
    </row>
    <row r="168" spans="1:12" s="39" customFormat="1">
      <c r="A168" s="31">
        <v>162</v>
      </c>
      <c r="B168" s="33" t="s">
        <v>330</v>
      </c>
      <c r="C168" s="32"/>
      <c r="D168" s="43" t="s">
        <v>331</v>
      </c>
      <c r="E168" s="32"/>
      <c r="F168" s="32" t="s">
        <v>821</v>
      </c>
      <c r="G168" s="59" t="s">
        <v>942</v>
      </c>
      <c r="H168" s="32">
        <v>0</v>
      </c>
      <c r="I168" s="37"/>
      <c r="J168" s="37">
        <v>11300</v>
      </c>
      <c r="K168" s="37">
        <f t="shared" si="2"/>
        <v>0</v>
      </c>
      <c r="L168" s="38"/>
    </row>
    <row r="169" spans="1:12" s="39" customFormat="1">
      <c r="A169" s="31">
        <v>163</v>
      </c>
      <c r="B169" s="33" t="s">
        <v>332</v>
      </c>
      <c r="C169" s="32"/>
      <c r="D169" s="43" t="s">
        <v>817</v>
      </c>
      <c r="E169" s="32"/>
      <c r="F169" s="32" t="s">
        <v>818</v>
      </c>
      <c r="G169" s="59" t="s">
        <v>942</v>
      </c>
      <c r="H169" s="32">
        <v>0</v>
      </c>
      <c r="I169" s="37"/>
      <c r="J169" s="37">
        <v>2430</v>
      </c>
      <c r="K169" s="37">
        <f t="shared" si="2"/>
        <v>0</v>
      </c>
      <c r="L169" s="38"/>
    </row>
    <row r="170" spans="1:12" s="39" customFormat="1">
      <c r="A170" s="31">
        <v>164</v>
      </c>
      <c r="B170" s="33" t="s">
        <v>48</v>
      </c>
      <c r="C170" s="32"/>
      <c r="D170" s="43" t="s">
        <v>804</v>
      </c>
      <c r="E170" s="32"/>
      <c r="F170" s="32" t="s">
        <v>805</v>
      </c>
      <c r="G170" s="59" t="s">
        <v>942</v>
      </c>
      <c r="H170" s="32">
        <v>6</v>
      </c>
      <c r="I170" s="37"/>
      <c r="J170" s="37">
        <v>73810</v>
      </c>
      <c r="K170" s="37">
        <f t="shared" si="2"/>
        <v>442860</v>
      </c>
      <c r="L170" s="38"/>
    </row>
    <row r="171" spans="1:12" s="39" customFormat="1">
      <c r="A171" s="31">
        <v>165</v>
      </c>
      <c r="B171" s="33" t="s">
        <v>45</v>
      </c>
      <c r="C171" s="32"/>
      <c r="D171" s="43" t="s">
        <v>797</v>
      </c>
      <c r="E171" s="32"/>
      <c r="F171" s="32" t="s">
        <v>798</v>
      </c>
      <c r="G171" s="59" t="s">
        <v>942</v>
      </c>
      <c r="H171" s="32">
        <v>12</v>
      </c>
      <c r="I171" s="37"/>
      <c r="J171" s="37">
        <v>75250</v>
      </c>
      <c r="K171" s="37">
        <f t="shared" si="2"/>
        <v>903000</v>
      </c>
      <c r="L171" s="38"/>
    </row>
    <row r="172" spans="1:12" s="39" customFormat="1">
      <c r="A172" s="31">
        <v>166</v>
      </c>
      <c r="B172" s="33" t="s">
        <v>48</v>
      </c>
      <c r="C172" s="32"/>
      <c r="D172" s="43" t="s">
        <v>806</v>
      </c>
      <c r="E172" s="34"/>
      <c r="F172" s="31" t="s">
        <v>807</v>
      </c>
      <c r="G172" s="59" t="s">
        <v>942</v>
      </c>
      <c r="H172" s="32">
        <v>6</v>
      </c>
      <c r="I172" s="37"/>
      <c r="J172" s="37">
        <v>73810</v>
      </c>
      <c r="K172" s="37">
        <f t="shared" si="2"/>
        <v>442860</v>
      </c>
      <c r="L172" s="38"/>
    </row>
    <row r="173" spans="1:12" s="39" customFormat="1">
      <c r="A173" s="31">
        <v>167</v>
      </c>
      <c r="B173" s="45" t="s">
        <v>327</v>
      </c>
      <c r="C173" s="44"/>
      <c r="D173" s="43" t="s">
        <v>333</v>
      </c>
      <c r="E173" s="46"/>
      <c r="F173" s="31" t="s">
        <v>765</v>
      </c>
      <c r="G173" s="46" t="s">
        <v>942</v>
      </c>
      <c r="H173" s="31">
        <v>0</v>
      </c>
      <c r="I173" s="48"/>
      <c r="J173" s="48">
        <v>26090</v>
      </c>
      <c r="K173" s="37">
        <f t="shared" si="2"/>
        <v>0</v>
      </c>
      <c r="L173" s="38"/>
    </row>
    <row r="174" spans="1:12" s="39" customFormat="1">
      <c r="A174" s="31">
        <v>168</v>
      </c>
      <c r="B174" s="45" t="s">
        <v>64</v>
      </c>
      <c r="C174" s="44"/>
      <c r="D174" s="45" t="s">
        <v>619</v>
      </c>
      <c r="E174" s="31"/>
      <c r="F174" s="42" t="s">
        <v>620</v>
      </c>
      <c r="G174" s="46" t="s">
        <v>1208</v>
      </c>
      <c r="H174" s="31">
        <v>8</v>
      </c>
      <c r="I174" s="48"/>
      <c r="J174" s="48">
        <v>16100</v>
      </c>
      <c r="K174" s="37">
        <f t="shared" si="2"/>
        <v>128800</v>
      </c>
      <c r="L174" s="38"/>
    </row>
    <row r="175" spans="1:12" s="39" customFormat="1">
      <c r="A175" s="31">
        <v>169</v>
      </c>
      <c r="B175" s="45" t="s">
        <v>1130</v>
      </c>
      <c r="C175" s="44"/>
      <c r="D175" s="45" t="s">
        <v>334</v>
      </c>
      <c r="E175" s="31"/>
      <c r="F175" s="31" t="s">
        <v>658</v>
      </c>
      <c r="G175" s="46" t="s">
        <v>1208</v>
      </c>
      <c r="H175" s="31">
        <v>3</v>
      </c>
      <c r="I175" s="48"/>
      <c r="J175" s="48">
        <v>9990</v>
      </c>
      <c r="K175" s="37">
        <f t="shared" si="2"/>
        <v>29970</v>
      </c>
      <c r="L175" s="38"/>
    </row>
    <row r="176" spans="1:12" s="39" customFormat="1">
      <c r="A176" s="31">
        <v>170</v>
      </c>
      <c r="B176" s="45" t="s">
        <v>64</v>
      </c>
      <c r="C176" s="44"/>
      <c r="D176" s="45" t="s">
        <v>172</v>
      </c>
      <c r="E176" s="31"/>
      <c r="F176" s="31" t="s">
        <v>753</v>
      </c>
      <c r="G176" s="46" t="s">
        <v>1208</v>
      </c>
      <c r="H176" s="31">
        <v>9</v>
      </c>
      <c r="I176" s="48"/>
      <c r="J176" s="48">
        <v>22110</v>
      </c>
      <c r="K176" s="37">
        <f t="shared" si="2"/>
        <v>198990</v>
      </c>
      <c r="L176" s="38"/>
    </row>
    <row r="177" spans="1:12" s="39" customFormat="1">
      <c r="A177" s="31">
        <v>171</v>
      </c>
      <c r="B177" s="70" t="s">
        <v>1146</v>
      </c>
      <c r="C177" s="34"/>
      <c r="D177" s="70" t="s">
        <v>195</v>
      </c>
      <c r="E177" s="31"/>
      <c r="F177" s="31" t="s">
        <v>196</v>
      </c>
      <c r="G177" s="31" t="s">
        <v>1208</v>
      </c>
      <c r="H177" s="31">
        <v>0</v>
      </c>
      <c r="I177" s="48"/>
      <c r="J177" s="48">
        <v>4930</v>
      </c>
      <c r="K177" s="37">
        <f t="shared" si="2"/>
        <v>0</v>
      </c>
      <c r="L177" s="38"/>
    </row>
    <row r="178" spans="1:12" s="39" customFormat="1">
      <c r="A178" s="31">
        <v>172</v>
      </c>
      <c r="B178" s="33" t="s">
        <v>86</v>
      </c>
      <c r="C178" s="32"/>
      <c r="D178" s="33" t="s">
        <v>335</v>
      </c>
      <c r="E178" s="31"/>
      <c r="F178" s="31" t="s">
        <v>746</v>
      </c>
      <c r="G178" s="31" t="s">
        <v>87</v>
      </c>
      <c r="H178" s="31">
        <v>3</v>
      </c>
      <c r="I178" s="48"/>
      <c r="J178" s="48">
        <v>0</v>
      </c>
      <c r="K178" s="37">
        <f t="shared" si="2"/>
        <v>0</v>
      </c>
      <c r="L178" s="38"/>
    </row>
    <row r="179" spans="1:12" s="39" customFormat="1">
      <c r="A179" s="31">
        <v>173</v>
      </c>
      <c r="B179" s="45" t="s">
        <v>86</v>
      </c>
      <c r="C179" s="44"/>
      <c r="D179" s="45" t="s">
        <v>336</v>
      </c>
      <c r="E179" s="31"/>
      <c r="F179" s="31" t="s">
        <v>337</v>
      </c>
      <c r="G179" s="46" t="s">
        <v>87</v>
      </c>
      <c r="H179" s="31">
        <v>3</v>
      </c>
      <c r="I179" s="48"/>
      <c r="J179" s="48">
        <v>0</v>
      </c>
      <c r="K179" s="37">
        <f t="shared" si="2"/>
        <v>0</v>
      </c>
      <c r="L179" s="38"/>
    </row>
    <row r="180" spans="1:12" s="39" customFormat="1">
      <c r="A180" s="31">
        <v>174</v>
      </c>
      <c r="B180" s="45" t="s">
        <v>24</v>
      </c>
      <c r="C180" s="44"/>
      <c r="D180" s="45" t="s">
        <v>762</v>
      </c>
      <c r="E180" s="31"/>
      <c r="F180" s="42" t="s">
        <v>763</v>
      </c>
      <c r="G180" s="46" t="s">
        <v>780</v>
      </c>
      <c r="H180" s="31">
        <v>204</v>
      </c>
      <c r="I180" s="48"/>
      <c r="J180" s="48">
        <v>6729</v>
      </c>
      <c r="K180" s="37">
        <f t="shared" si="2"/>
        <v>1372716</v>
      </c>
      <c r="L180" s="38"/>
    </row>
    <row r="181" spans="1:12" s="39" customFormat="1">
      <c r="A181" s="31">
        <v>175</v>
      </c>
      <c r="B181" s="33" t="s">
        <v>1114</v>
      </c>
      <c r="C181" s="32"/>
      <c r="D181" s="43" t="s">
        <v>338</v>
      </c>
      <c r="E181" s="34"/>
      <c r="F181" s="31" t="s">
        <v>779</v>
      </c>
      <c r="G181" s="32" t="s">
        <v>780</v>
      </c>
      <c r="H181" s="32">
        <v>99</v>
      </c>
      <c r="I181" s="37"/>
      <c r="J181" s="37">
        <v>21493</v>
      </c>
      <c r="K181" s="37">
        <f t="shared" si="2"/>
        <v>2127807</v>
      </c>
      <c r="L181" s="38"/>
    </row>
    <row r="182" spans="1:12" s="39" customFormat="1">
      <c r="A182" s="31">
        <v>176</v>
      </c>
      <c r="B182" s="45" t="s">
        <v>873</v>
      </c>
      <c r="C182" s="44"/>
      <c r="D182" s="45" t="s">
        <v>874</v>
      </c>
      <c r="E182" s="31"/>
      <c r="F182" s="31" t="s">
        <v>1213</v>
      </c>
      <c r="G182" s="46" t="s">
        <v>875</v>
      </c>
      <c r="H182" s="31">
        <v>102</v>
      </c>
      <c r="I182" s="48"/>
      <c r="J182" s="48">
        <v>11500</v>
      </c>
      <c r="K182" s="37">
        <f t="shared" si="2"/>
        <v>1173000</v>
      </c>
      <c r="L182" s="38"/>
    </row>
    <row r="183" spans="1:12" s="39" customFormat="1">
      <c r="A183" s="31">
        <v>177</v>
      </c>
      <c r="B183" s="45" t="s">
        <v>48</v>
      </c>
      <c r="C183" s="44"/>
      <c r="D183" s="43" t="s">
        <v>339</v>
      </c>
      <c r="E183" s="31"/>
      <c r="F183" s="31" t="s">
        <v>800</v>
      </c>
      <c r="G183" s="46" t="s">
        <v>875</v>
      </c>
      <c r="H183" s="31">
        <v>6</v>
      </c>
      <c r="I183" s="48"/>
      <c r="J183" s="48">
        <v>11000</v>
      </c>
      <c r="K183" s="37">
        <f t="shared" si="2"/>
        <v>66000</v>
      </c>
      <c r="L183" s="38"/>
    </row>
    <row r="184" spans="1:12" s="39" customFormat="1">
      <c r="A184" s="31">
        <v>178</v>
      </c>
      <c r="B184" s="45" t="s">
        <v>1066</v>
      </c>
      <c r="C184" s="44"/>
      <c r="D184" s="45" t="s">
        <v>340</v>
      </c>
      <c r="E184" s="31"/>
      <c r="F184" s="42" t="s">
        <v>759</v>
      </c>
      <c r="G184" s="46" t="s">
        <v>875</v>
      </c>
      <c r="H184" s="31">
        <v>108</v>
      </c>
      <c r="I184" s="48"/>
      <c r="J184" s="48">
        <v>9000</v>
      </c>
      <c r="K184" s="37">
        <f t="shared" si="2"/>
        <v>972000</v>
      </c>
      <c r="L184" s="38"/>
    </row>
    <row r="185" spans="1:12" s="39" customFormat="1">
      <c r="A185" s="31">
        <v>179</v>
      </c>
      <c r="B185" s="99" t="s">
        <v>1130</v>
      </c>
      <c r="C185" s="54"/>
      <c r="D185" s="55" t="s">
        <v>656</v>
      </c>
      <c r="E185" s="54"/>
      <c r="F185" s="56" t="s">
        <v>657</v>
      </c>
      <c r="G185" s="46" t="s">
        <v>1208</v>
      </c>
      <c r="H185" s="54">
        <v>8</v>
      </c>
      <c r="I185" s="48"/>
      <c r="J185" s="48">
        <v>13350</v>
      </c>
      <c r="K185" s="37">
        <f t="shared" si="2"/>
        <v>106800</v>
      </c>
      <c r="L185" s="38"/>
    </row>
    <row r="186" spans="1:12" s="39" customFormat="1">
      <c r="A186" s="31">
        <v>180</v>
      </c>
      <c r="B186" s="33" t="s">
        <v>341</v>
      </c>
      <c r="C186" s="34"/>
      <c r="D186" s="43" t="s">
        <v>342</v>
      </c>
      <c r="E186" s="42"/>
      <c r="F186" s="31" t="s">
        <v>203</v>
      </c>
      <c r="G186" s="32" t="s">
        <v>2</v>
      </c>
      <c r="H186" s="31">
        <v>0</v>
      </c>
      <c r="I186" s="48"/>
      <c r="J186" s="48">
        <v>3000</v>
      </c>
      <c r="K186" s="37">
        <f t="shared" si="2"/>
        <v>0</v>
      </c>
      <c r="L186" s="38"/>
    </row>
    <row r="187" spans="1:12" s="39" customFormat="1">
      <c r="A187" s="31">
        <v>181</v>
      </c>
      <c r="B187" s="33" t="s">
        <v>341</v>
      </c>
      <c r="C187" s="32"/>
      <c r="D187" s="43" t="s">
        <v>343</v>
      </c>
      <c r="E187" s="34"/>
      <c r="F187" s="31" t="s">
        <v>205</v>
      </c>
      <c r="G187" s="32" t="s">
        <v>2</v>
      </c>
      <c r="H187" s="32">
        <v>0</v>
      </c>
      <c r="I187" s="37"/>
      <c r="J187" s="37">
        <v>5200</v>
      </c>
      <c r="K187" s="37">
        <f t="shared" si="2"/>
        <v>0</v>
      </c>
      <c r="L187" s="38"/>
    </row>
    <row r="188" spans="1:12" s="39" customFormat="1">
      <c r="A188" s="31">
        <v>182</v>
      </c>
      <c r="B188" s="33" t="s">
        <v>1075</v>
      </c>
      <c r="C188" s="32"/>
      <c r="D188" s="43" t="s">
        <v>344</v>
      </c>
      <c r="E188" s="32"/>
      <c r="F188" s="31" t="s">
        <v>912</v>
      </c>
      <c r="G188" s="32" t="s">
        <v>1128</v>
      </c>
      <c r="H188" s="32">
        <v>6</v>
      </c>
      <c r="I188" s="37"/>
      <c r="J188" s="37">
        <v>43700</v>
      </c>
      <c r="K188" s="37">
        <f t="shared" si="2"/>
        <v>262200</v>
      </c>
      <c r="L188" s="38"/>
    </row>
    <row r="189" spans="1:12" s="39" customFormat="1">
      <c r="A189" s="31">
        <v>183</v>
      </c>
      <c r="B189" s="33" t="s">
        <v>1075</v>
      </c>
      <c r="C189" s="32"/>
      <c r="D189" s="43" t="s">
        <v>911</v>
      </c>
      <c r="E189" s="32"/>
      <c r="F189" s="31" t="s">
        <v>910</v>
      </c>
      <c r="G189" s="32" t="s">
        <v>1128</v>
      </c>
      <c r="H189" s="32">
        <v>6</v>
      </c>
      <c r="I189" s="37"/>
      <c r="J189" s="37">
        <v>34600</v>
      </c>
      <c r="K189" s="37">
        <f t="shared" si="2"/>
        <v>207600</v>
      </c>
      <c r="L189" s="38"/>
    </row>
    <row r="190" spans="1:12" s="39" customFormat="1">
      <c r="A190" s="31">
        <v>184</v>
      </c>
      <c r="B190" s="33" t="s">
        <v>341</v>
      </c>
      <c r="C190" s="32"/>
      <c r="D190" s="43" t="s">
        <v>345</v>
      </c>
      <c r="E190" s="34"/>
      <c r="F190" s="31" t="s">
        <v>202</v>
      </c>
      <c r="G190" s="32" t="s">
        <v>1042</v>
      </c>
      <c r="H190" s="32">
        <v>0</v>
      </c>
      <c r="I190" s="37"/>
      <c r="J190" s="37">
        <v>750</v>
      </c>
      <c r="K190" s="37">
        <f t="shared" si="2"/>
        <v>0</v>
      </c>
      <c r="L190" s="38"/>
    </row>
    <row r="191" spans="1:12" s="39" customFormat="1">
      <c r="A191" s="31">
        <v>185</v>
      </c>
      <c r="B191" s="45" t="s">
        <v>1075</v>
      </c>
      <c r="C191" s="34"/>
      <c r="D191" s="43" t="s">
        <v>346</v>
      </c>
      <c r="E191" s="42"/>
      <c r="F191" s="31" t="s">
        <v>1074</v>
      </c>
      <c r="G191" s="46" t="s">
        <v>1128</v>
      </c>
      <c r="H191" s="31">
        <v>6</v>
      </c>
      <c r="I191" s="48"/>
      <c r="J191" s="48">
        <v>54400</v>
      </c>
      <c r="K191" s="37">
        <f t="shared" si="2"/>
        <v>326400</v>
      </c>
      <c r="L191" s="38"/>
    </row>
    <row r="192" spans="1:12" s="39" customFormat="1">
      <c r="A192" s="31">
        <v>186</v>
      </c>
      <c r="B192" s="45" t="s">
        <v>165</v>
      </c>
      <c r="C192" s="44"/>
      <c r="D192" s="43" t="s">
        <v>166</v>
      </c>
      <c r="E192" s="46"/>
      <c r="F192" s="42" t="s">
        <v>167</v>
      </c>
      <c r="G192" s="46" t="s">
        <v>1128</v>
      </c>
      <c r="H192" s="31">
        <v>14</v>
      </c>
      <c r="I192" s="48"/>
      <c r="J192" s="48">
        <v>21408</v>
      </c>
      <c r="K192" s="37">
        <f t="shared" si="2"/>
        <v>299712</v>
      </c>
      <c r="L192" s="38"/>
    </row>
    <row r="193" spans="1:12" s="39" customFormat="1">
      <c r="A193" s="31">
        <v>187</v>
      </c>
      <c r="B193" s="45" t="s">
        <v>341</v>
      </c>
      <c r="C193" s="44"/>
      <c r="D193" s="43" t="s">
        <v>347</v>
      </c>
      <c r="E193" s="46"/>
      <c r="F193" s="31" t="s">
        <v>204</v>
      </c>
      <c r="G193" s="46" t="s">
        <v>1208</v>
      </c>
      <c r="H193" s="31">
        <v>0</v>
      </c>
      <c r="I193" s="48"/>
      <c r="J193" s="48">
        <v>1440</v>
      </c>
      <c r="K193" s="37">
        <f t="shared" si="2"/>
        <v>0</v>
      </c>
      <c r="L193" s="38"/>
    </row>
    <row r="194" spans="1:12" s="39" customFormat="1">
      <c r="A194" s="31">
        <v>188</v>
      </c>
      <c r="B194" s="50" t="s">
        <v>686</v>
      </c>
      <c r="C194" s="49"/>
      <c r="D194" s="81" t="s">
        <v>687</v>
      </c>
      <c r="E194" s="49"/>
      <c r="F194" s="82" t="s">
        <v>688</v>
      </c>
      <c r="G194" s="83" t="s">
        <v>577</v>
      </c>
      <c r="H194" s="49">
        <v>6</v>
      </c>
      <c r="I194" s="37"/>
      <c r="J194" s="37">
        <v>6940</v>
      </c>
      <c r="K194" s="37">
        <f t="shared" si="2"/>
        <v>41640</v>
      </c>
      <c r="L194" s="38"/>
    </row>
    <row r="195" spans="1:12" s="39" customFormat="1">
      <c r="A195" s="31">
        <v>189</v>
      </c>
      <c r="B195" s="50" t="s">
        <v>686</v>
      </c>
      <c r="C195" s="49"/>
      <c r="D195" s="81" t="s">
        <v>689</v>
      </c>
      <c r="E195" s="49"/>
      <c r="F195" s="82" t="s">
        <v>690</v>
      </c>
      <c r="G195" s="83" t="s">
        <v>577</v>
      </c>
      <c r="H195" s="49">
        <v>6</v>
      </c>
      <c r="I195" s="37"/>
      <c r="J195" s="37">
        <v>5340</v>
      </c>
      <c r="K195" s="37">
        <f t="shared" si="2"/>
        <v>32040</v>
      </c>
      <c r="L195" s="38"/>
    </row>
    <row r="196" spans="1:12" s="39" customFormat="1">
      <c r="A196" s="31">
        <v>190</v>
      </c>
      <c r="B196" s="45" t="s">
        <v>1150</v>
      </c>
      <c r="C196" s="44"/>
      <c r="D196" s="45" t="s">
        <v>1129</v>
      </c>
      <c r="E196" s="31"/>
      <c r="F196" s="42" t="s">
        <v>955</v>
      </c>
      <c r="G196" s="46" t="s">
        <v>1128</v>
      </c>
      <c r="H196" s="31">
        <v>0</v>
      </c>
      <c r="I196" s="48"/>
      <c r="J196" s="48">
        <v>6950</v>
      </c>
      <c r="K196" s="37">
        <f t="shared" si="2"/>
        <v>0</v>
      </c>
      <c r="L196" s="38"/>
    </row>
    <row r="197" spans="1:12" s="39" customFormat="1">
      <c r="A197" s="31">
        <v>191</v>
      </c>
      <c r="B197" s="45" t="s">
        <v>1127</v>
      </c>
      <c r="C197" s="44"/>
      <c r="D197" s="45" t="s">
        <v>1041</v>
      </c>
      <c r="E197" s="31"/>
      <c r="F197" s="42" t="s">
        <v>52</v>
      </c>
      <c r="G197" s="46" t="s">
        <v>1042</v>
      </c>
      <c r="H197" s="31">
        <v>14</v>
      </c>
      <c r="I197" s="48"/>
      <c r="J197" s="48">
        <v>5790</v>
      </c>
      <c r="K197" s="37">
        <f t="shared" si="2"/>
        <v>81060</v>
      </c>
      <c r="L197" s="38"/>
    </row>
    <row r="198" spans="1:12" s="39" customFormat="1">
      <c r="A198" s="31">
        <v>192</v>
      </c>
      <c r="B198" s="99" t="s">
        <v>99</v>
      </c>
      <c r="C198" s="54"/>
      <c r="D198" s="55" t="s">
        <v>100</v>
      </c>
      <c r="E198" s="54"/>
      <c r="F198" s="56" t="s">
        <v>101</v>
      </c>
      <c r="G198" s="46" t="s">
        <v>2</v>
      </c>
      <c r="H198" s="54">
        <v>7</v>
      </c>
      <c r="I198" s="48"/>
      <c r="J198" s="48">
        <v>20961</v>
      </c>
      <c r="K198" s="37">
        <f t="shared" si="2"/>
        <v>146727</v>
      </c>
      <c r="L198" s="38"/>
    </row>
    <row r="199" spans="1:12" s="39" customFormat="1">
      <c r="A199" s="31">
        <v>193</v>
      </c>
      <c r="B199" s="50" t="s">
        <v>1127</v>
      </c>
      <c r="C199" s="49"/>
      <c r="D199" s="81" t="s">
        <v>1041</v>
      </c>
      <c r="E199" s="49"/>
      <c r="F199" s="83" t="s">
        <v>712</v>
      </c>
      <c r="G199" s="83" t="s">
        <v>1042</v>
      </c>
      <c r="H199" s="49">
        <v>3</v>
      </c>
      <c r="I199" s="37"/>
      <c r="J199" s="37">
        <v>5790</v>
      </c>
      <c r="K199" s="37">
        <f t="shared" si="2"/>
        <v>17370</v>
      </c>
      <c r="L199" s="38"/>
    </row>
    <row r="200" spans="1:12" s="39" customFormat="1">
      <c r="A200" s="31">
        <v>194</v>
      </c>
      <c r="B200" s="50" t="s">
        <v>1127</v>
      </c>
      <c r="C200" s="49"/>
      <c r="D200" s="81" t="s">
        <v>4</v>
      </c>
      <c r="E200" s="49"/>
      <c r="F200" s="83" t="s">
        <v>1198</v>
      </c>
      <c r="G200" s="83" t="s">
        <v>1042</v>
      </c>
      <c r="H200" s="49">
        <v>9</v>
      </c>
      <c r="I200" s="37"/>
      <c r="J200" s="37">
        <v>10320</v>
      </c>
      <c r="K200" s="37">
        <f t="shared" ref="K200:K263" si="3">H200*J200</f>
        <v>92880</v>
      </c>
      <c r="L200" s="38"/>
    </row>
    <row r="201" spans="1:12" s="39" customFormat="1">
      <c r="A201" s="31">
        <v>195</v>
      </c>
      <c r="B201" s="45" t="s">
        <v>94</v>
      </c>
      <c r="C201" s="44"/>
      <c r="D201" s="45" t="s">
        <v>95</v>
      </c>
      <c r="E201" s="31"/>
      <c r="F201" s="42" t="s">
        <v>96</v>
      </c>
      <c r="G201" s="46" t="s">
        <v>1208</v>
      </c>
      <c r="H201" s="31">
        <v>7</v>
      </c>
      <c r="I201" s="48"/>
      <c r="J201" s="48">
        <v>7640</v>
      </c>
      <c r="K201" s="37">
        <f t="shared" si="3"/>
        <v>53480</v>
      </c>
      <c r="L201" s="38"/>
    </row>
    <row r="202" spans="1:12" s="39" customFormat="1">
      <c r="A202" s="31">
        <v>196</v>
      </c>
      <c r="B202" s="45" t="s">
        <v>348</v>
      </c>
      <c r="C202" s="44" t="s">
        <v>349</v>
      </c>
      <c r="D202" s="45" t="s">
        <v>350</v>
      </c>
      <c r="E202" s="31"/>
      <c r="F202" s="42" t="s">
        <v>748</v>
      </c>
      <c r="G202" s="46" t="s">
        <v>1208</v>
      </c>
      <c r="H202" s="31">
        <v>27</v>
      </c>
      <c r="I202" s="48"/>
      <c r="J202" s="48">
        <v>5340</v>
      </c>
      <c r="K202" s="37">
        <f t="shared" si="3"/>
        <v>144180</v>
      </c>
      <c r="L202" s="38"/>
    </row>
    <row r="203" spans="1:12" s="39" customFormat="1">
      <c r="A203" s="31">
        <v>197</v>
      </c>
      <c r="B203" s="75" t="s">
        <v>70</v>
      </c>
      <c r="C203" s="31"/>
      <c r="D203" s="41" t="s">
        <v>849</v>
      </c>
      <c r="E203" s="31"/>
      <c r="F203" s="42" t="s">
        <v>850</v>
      </c>
      <c r="G203" s="46" t="s">
        <v>1208</v>
      </c>
      <c r="H203" s="31">
        <v>24</v>
      </c>
      <c r="I203" s="48"/>
      <c r="J203" s="48">
        <v>3620</v>
      </c>
      <c r="K203" s="37">
        <f t="shared" si="3"/>
        <v>86880</v>
      </c>
      <c r="L203" s="38"/>
    </row>
    <row r="204" spans="1:12" s="39" customFormat="1">
      <c r="A204" s="31">
        <v>198</v>
      </c>
      <c r="B204" s="109" t="s">
        <v>348</v>
      </c>
      <c r="C204" s="84" t="s">
        <v>351</v>
      </c>
      <c r="D204" s="50" t="s">
        <v>352</v>
      </c>
      <c r="E204" s="51"/>
      <c r="F204" s="49" t="s">
        <v>747</v>
      </c>
      <c r="G204" s="49" t="s">
        <v>1208</v>
      </c>
      <c r="H204" s="54">
        <v>63</v>
      </c>
      <c r="I204" s="48"/>
      <c r="J204" s="48">
        <v>4590</v>
      </c>
      <c r="K204" s="37">
        <f t="shared" si="3"/>
        <v>289170</v>
      </c>
      <c r="L204" s="38"/>
    </row>
    <row r="205" spans="1:12" s="39" customFormat="1">
      <c r="A205" s="31">
        <v>199</v>
      </c>
      <c r="B205" s="50" t="s">
        <v>574</v>
      </c>
      <c r="C205" s="49"/>
      <c r="D205" s="50" t="s">
        <v>353</v>
      </c>
      <c r="E205" s="51"/>
      <c r="F205" s="49" t="s">
        <v>607</v>
      </c>
      <c r="G205" s="49" t="s">
        <v>87</v>
      </c>
      <c r="H205" s="49">
        <v>2</v>
      </c>
      <c r="I205" s="37"/>
      <c r="J205" s="37">
        <v>55400</v>
      </c>
      <c r="K205" s="37">
        <f t="shared" si="3"/>
        <v>110800</v>
      </c>
      <c r="L205" s="38"/>
    </row>
    <row r="206" spans="1:12" s="39" customFormat="1">
      <c r="A206" s="31">
        <v>200</v>
      </c>
      <c r="B206" s="75" t="s">
        <v>574</v>
      </c>
      <c r="C206" s="31"/>
      <c r="D206" s="41" t="s">
        <v>354</v>
      </c>
      <c r="E206" s="31"/>
      <c r="F206" s="42" t="s">
        <v>608</v>
      </c>
      <c r="G206" s="46" t="s">
        <v>87</v>
      </c>
      <c r="H206" s="31">
        <v>7</v>
      </c>
      <c r="I206" s="48"/>
      <c r="J206" s="48">
        <v>38780</v>
      </c>
      <c r="K206" s="37">
        <f t="shared" si="3"/>
        <v>271460</v>
      </c>
      <c r="L206" s="38"/>
    </row>
    <row r="207" spans="1:12" s="39" customFormat="1">
      <c r="A207" s="31">
        <v>201</v>
      </c>
      <c r="B207" s="33" t="s">
        <v>70</v>
      </c>
      <c r="C207" s="32" t="s">
        <v>65</v>
      </c>
      <c r="D207" s="43" t="s">
        <v>71</v>
      </c>
      <c r="E207" s="34"/>
      <c r="F207" s="31" t="s">
        <v>1200</v>
      </c>
      <c r="G207" s="32" t="s">
        <v>1208</v>
      </c>
      <c r="H207" s="32">
        <v>3</v>
      </c>
      <c r="I207" s="37"/>
      <c r="J207" s="37">
        <v>14460</v>
      </c>
      <c r="K207" s="37">
        <f t="shared" si="3"/>
        <v>43380</v>
      </c>
      <c r="L207" s="38"/>
    </row>
    <row r="208" spans="1:12" s="39" customFormat="1">
      <c r="A208" s="31">
        <v>202</v>
      </c>
      <c r="B208" s="45" t="s">
        <v>70</v>
      </c>
      <c r="C208" s="44" t="s">
        <v>72</v>
      </c>
      <c r="D208" s="45" t="s">
        <v>73</v>
      </c>
      <c r="E208" s="31"/>
      <c r="F208" s="31" t="s">
        <v>1201</v>
      </c>
      <c r="G208" s="46" t="s">
        <v>1208</v>
      </c>
      <c r="H208" s="31">
        <v>9</v>
      </c>
      <c r="I208" s="48"/>
      <c r="J208" s="48">
        <v>8020</v>
      </c>
      <c r="K208" s="37">
        <f t="shared" si="3"/>
        <v>72180</v>
      </c>
      <c r="L208" s="38"/>
    </row>
    <row r="209" spans="1:12" s="39" customFormat="1">
      <c r="A209" s="31">
        <v>203</v>
      </c>
      <c r="B209" s="45" t="s">
        <v>74</v>
      </c>
      <c r="C209" s="44" t="s">
        <v>65</v>
      </c>
      <c r="D209" s="45" t="s">
        <v>75</v>
      </c>
      <c r="E209" s="31"/>
      <c r="F209" s="31" t="s">
        <v>1202</v>
      </c>
      <c r="G209" s="46" t="s">
        <v>1208</v>
      </c>
      <c r="H209" s="31">
        <v>3</v>
      </c>
      <c r="I209" s="48"/>
      <c r="J209" s="48">
        <v>19810</v>
      </c>
      <c r="K209" s="37">
        <f t="shared" si="3"/>
        <v>59430</v>
      </c>
      <c r="L209" s="38"/>
    </row>
    <row r="210" spans="1:12" s="39" customFormat="1">
      <c r="A210" s="31">
        <v>204</v>
      </c>
      <c r="B210" s="45" t="s">
        <v>74</v>
      </c>
      <c r="C210" s="44" t="s">
        <v>65</v>
      </c>
      <c r="D210" s="45" t="s">
        <v>76</v>
      </c>
      <c r="E210" s="31"/>
      <c r="F210" s="31" t="s">
        <v>1205</v>
      </c>
      <c r="G210" s="46" t="s">
        <v>1208</v>
      </c>
      <c r="H210" s="31">
        <v>3</v>
      </c>
      <c r="I210" s="48"/>
      <c r="J210" s="48">
        <v>30530</v>
      </c>
      <c r="K210" s="37">
        <f t="shared" si="3"/>
        <v>91590</v>
      </c>
      <c r="L210" s="38"/>
    </row>
    <row r="211" spans="1:12" s="39" customFormat="1">
      <c r="A211" s="31">
        <v>205</v>
      </c>
      <c r="B211" s="86" t="s">
        <v>355</v>
      </c>
      <c r="C211" s="85" t="s">
        <v>77</v>
      </c>
      <c r="D211" s="86" t="s">
        <v>78</v>
      </c>
      <c r="E211" s="73"/>
      <c r="F211" s="73" t="s">
        <v>1203</v>
      </c>
      <c r="G211" s="46" t="s">
        <v>1208</v>
      </c>
      <c r="H211" s="73">
        <v>6</v>
      </c>
      <c r="I211" s="48"/>
      <c r="J211" s="48">
        <v>43190</v>
      </c>
      <c r="K211" s="37">
        <f t="shared" si="3"/>
        <v>259140</v>
      </c>
      <c r="L211" s="38"/>
    </row>
    <row r="212" spans="1:12" s="39" customFormat="1">
      <c r="A212" s="31">
        <v>206</v>
      </c>
      <c r="B212" s="86" t="s">
        <v>79</v>
      </c>
      <c r="C212" s="85" t="s">
        <v>77</v>
      </c>
      <c r="D212" s="86" t="s">
        <v>80</v>
      </c>
      <c r="E212" s="73"/>
      <c r="F212" s="73" t="s">
        <v>1206</v>
      </c>
      <c r="G212" s="46" t="s">
        <v>1208</v>
      </c>
      <c r="H212" s="73">
        <v>3</v>
      </c>
      <c r="I212" s="48"/>
      <c r="J212" s="48">
        <v>33570</v>
      </c>
      <c r="K212" s="37">
        <f t="shared" si="3"/>
        <v>100710</v>
      </c>
      <c r="L212" s="38"/>
    </row>
    <row r="213" spans="1:12" s="39" customFormat="1">
      <c r="A213" s="31">
        <v>207</v>
      </c>
      <c r="B213" s="99" t="s">
        <v>1127</v>
      </c>
      <c r="C213" s="54" t="s">
        <v>65</v>
      </c>
      <c r="D213" s="55" t="s">
        <v>66</v>
      </c>
      <c r="E213" s="54"/>
      <c r="F213" s="56" t="s">
        <v>1199</v>
      </c>
      <c r="G213" s="59" t="s">
        <v>1208</v>
      </c>
      <c r="H213" s="54">
        <v>3</v>
      </c>
      <c r="I213" s="48"/>
      <c r="J213" s="48">
        <v>35170</v>
      </c>
      <c r="K213" s="37">
        <f t="shared" si="3"/>
        <v>105510</v>
      </c>
      <c r="L213" s="38"/>
    </row>
    <row r="214" spans="1:12" s="39" customFormat="1">
      <c r="A214" s="31">
        <v>208</v>
      </c>
      <c r="B214" s="50" t="s">
        <v>79</v>
      </c>
      <c r="C214" s="49" t="s">
        <v>83</v>
      </c>
      <c r="D214" s="50" t="s">
        <v>84</v>
      </c>
      <c r="E214" s="51"/>
      <c r="F214" s="49" t="s">
        <v>85</v>
      </c>
      <c r="G214" s="49" t="s">
        <v>1208</v>
      </c>
      <c r="H214" s="49">
        <v>9</v>
      </c>
      <c r="I214" s="37"/>
      <c r="J214" s="37">
        <v>10960</v>
      </c>
      <c r="K214" s="37">
        <f t="shared" si="3"/>
        <v>98640</v>
      </c>
      <c r="L214" s="38"/>
    </row>
    <row r="215" spans="1:12" s="39" customFormat="1">
      <c r="A215" s="31">
        <v>209</v>
      </c>
      <c r="B215" s="50" t="s">
        <v>1115</v>
      </c>
      <c r="C215" s="49"/>
      <c r="D215" s="50" t="s">
        <v>788</v>
      </c>
      <c r="E215" s="51"/>
      <c r="F215" s="49" t="s">
        <v>789</v>
      </c>
      <c r="G215" s="49" t="s">
        <v>942</v>
      </c>
      <c r="H215" s="49">
        <v>6</v>
      </c>
      <c r="I215" s="37"/>
      <c r="J215" s="37">
        <v>64290</v>
      </c>
      <c r="K215" s="37">
        <f t="shared" si="3"/>
        <v>385740</v>
      </c>
      <c r="L215" s="38"/>
    </row>
    <row r="216" spans="1:12" s="39" customFormat="1">
      <c r="A216" s="31">
        <v>210</v>
      </c>
      <c r="B216" s="45" t="s">
        <v>70</v>
      </c>
      <c r="C216" s="44"/>
      <c r="D216" s="45" t="s">
        <v>356</v>
      </c>
      <c r="E216" s="31"/>
      <c r="F216" s="42" t="s">
        <v>357</v>
      </c>
      <c r="G216" s="46" t="s">
        <v>1208</v>
      </c>
      <c r="H216" s="31">
        <v>56</v>
      </c>
      <c r="I216" s="48"/>
      <c r="J216" s="48">
        <v>3240</v>
      </c>
      <c r="K216" s="37">
        <f t="shared" si="3"/>
        <v>181440</v>
      </c>
      <c r="L216" s="38"/>
    </row>
    <row r="217" spans="1:12" s="39" customFormat="1">
      <c r="A217" s="31">
        <v>211</v>
      </c>
      <c r="B217" s="75" t="s">
        <v>1112</v>
      </c>
      <c r="C217" s="31"/>
      <c r="D217" s="41" t="s">
        <v>358</v>
      </c>
      <c r="E217" s="31"/>
      <c r="F217" s="42" t="s">
        <v>772</v>
      </c>
      <c r="G217" s="46" t="s">
        <v>1208</v>
      </c>
      <c r="H217" s="31">
        <v>9</v>
      </c>
      <c r="I217" s="48"/>
      <c r="J217" s="48">
        <v>20450</v>
      </c>
      <c r="K217" s="37">
        <f t="shared" si="3"/>
        <v>184050</v>
      </c>
      <c r="L217" s="38"/>
    </row>
    <row r="218" spans="1:12" s="39" customFormat="1">
      <c r="A218" s="31">
        <v>212</v>
      </c>
      <c r="B218" s="70" t="s">
        <v>1114</v>
      </c>
      <c r="C218" s="34"/>
      <c r="D218" s="50" t="s">
        <v>359</v>
      </c>
      <c r="E218" s="51"/>
      <c r="F218" s="49" t="s">
        <v>782</v>
      </c>
      <c r="G218" s="49" t="s">
        <v>1208</v>
      </c>
      <c r="H218" s="54">
        <v>126</v>
      </c>
      <c r="I218" s="48"/>
      <c r="J218" s="48">
        <v>23330</v>
      </c>
      <c r="K218" s="37">
        <f t="shared" si="3"/>
        <v>2939580</v>
      </c>
      <c r="L218" s="38"/>
    </row>
    <row r="219" spans="1:12" s="39" customFormat="1">
      <c r="A219" s="31">
        <v>213</v>
      </c>
      <c r="B219" s="50" t="s">
        <v>570</v>
      </c>
      <c r="C219" s="49"/>
      <c r="D219" s="50" t="s">
        <v>360</v>
      </c>
      <c r="E219" s="51"/>
      <c r="F219" s="49" t="s">
        <v>606</v>
      </c>
      <c r="G219" s="49" t="s">
        <v>87</v>
      </c>
      <c r="H219" s="49">
        <v>2</v>
      </c>
      <c r="I219" s="37"/>
      <c r="J219" s="37">
        <v>42539</v>
      </c>
      <c r="K219" s="37">
        <f t="shared" si="3"/>
        <v>85078</v>
      </c>
      <c r="L219" s="38"/>
    </row>
    <row r="220" spans="1:12" s="39" customFormat="1">
      <c r="A220" s="31">
        <v>214</v>
      </c>
      <c r="B220" s="50" t="s">
        <v>571</v>
      </c>
      <c r="C220" s="49"/>
      <c r="D220" s="50" t="s">
        <v>361</v>
      </c>
      <c r="E220" s="51"/>
      <c r="F220" s="49" t="s">
        <v>572</v>
      </c>
      <c r="G220" s="49" t="s">
        <v>87</v>
      </c>
      <c r="H220" s="49">
        <v>17</v>
      </c>
      <c r="I220" s="37"/>
      <c r="J220" s="37">
        <v>33960</v>
      </c>
      <c r="K220" s="37">
        <f t="shared" si="3"/>
        <v>577320</v>
      </c>
      <c r="L220" s="38"/>
    </row>
    <row r="221" spans="1:12" s="39" customFormat="1">
      <c r="A221" s="31">
        <v>215</v>
      </c>
      <c r="B221" s="75" t="s">
        <v>1066</v>
      </c>
      <c r="C221" s="31"/>
      <c r="D221" s="41" t="s">
        <v>174</v>
      </c>
      <c r="E221" s="31"/>
      <c r="F221" s="42" t="s">
        <v>756</v>
      </c>
      <c r="G221" s="46" t="s">
        <v>1208</v>
      </c>
      <c r="H221" s="31">
        <v>117</v>
      </c>
      <c r="I221" s="48"/>
      <c r="J221" s="48">
        <v>5430</v>
      </c>
      <c r="K221" s="37">
        <f t="shared" si="3"/>
        <v>635310</v>
      </c>
      <c r="L221" s="38"/>
    </row>
    <row r="222" spans="1:12" s="39" customFormat="1">
      <c r="A222" s="31">
        <v>216</v>
      </c>
      <c r="B222" s="45" t="s">
        <v>1114</v>
      </c>
      <c r="C222" s="44"/>
      <c r="D222" s="45" t="s">
        <v>190</v>
      </c>
      <c r="E222" s="31"/>
      <c r="F222" s="31" t="s">
        <v>777</v>
      </c>
      <c r="G222" s="46" t="s">
        <v>1208</v>
      </c>
      <c r="H222" s="31">
        <v>81</v>
      </c>
      <c r="I222" s="48"/>
      <c r="J222" s="48">
        <v>5990</v>
      </c>
      <c r="K222" s="37">
        <f t="shared" si="3"/>
        <v>485190</v>
      </c>
      <c r="L222" s="38"/>
    </row>
    <row r="223" spans="1:12" s="39" customFormat="1">
      <c r="A223" s="31">
        <v>217</v>
      </c>
      <c r="B223" s="45" t="s">
        <v>1066</v>
      </c>
      <c r="C223" s="44"/>
      <c r="D223" s="45" t="s">
        <v>179</v>
      </c>
      <c r="E223" s="31"/>
      <c r="F223" s="31" t="s">
        <v>760</v>
      </c>
      <c r="G223" s="46" t="s">
        <v>1208</v>
      </c>
      <c r="H223" s="31">
        <v>393</v>
      </c>
      <c r="I223" s="48"/>
      <c r="J223" s="48">
        <v>6670</v>
      </c>
      <c r="K223" s="37">
        <f t="shared" si="3"/>
        <v>2621310</v>
      </c>
      <c r="L223" s="38"/>
    </row>
    <row r="224" spans="1:12" s="39" customFormat="1">
      <c r="A224" s="31">
        <v>218</v>
      </c>
      <c r="B224" s="99" t="s">
        <v>48</v>
      </c>
      <c r="C224" s="54"/>
      <c r="D224" s="55" t="s">
        <v>362</v>
      </c>
      <c r="E224" s="54"/>
      <c r="F224" s="56" t="s">
        <v>801</v>
      </c>
      <c r="G224" s="59" t="s">
        <v>1208</v>
      </c>
      <c r="H224" s="54">
        <v>96</v>
      </c>
      <c r="I224" s="48"/>
      <c r="J224" s="48">
        <v>10990</v>
      </c>
      <c r="K224" s="37">
        <f t="shared" si="3"/>
        <v>1055040</v>
      </c>
      <c r="L224" s="38"/>
    </row>
    <row r="225" spans="1:12" s="39" customFormat="1">
      <c r="A225" s="31">
        <v>219</v>
      </c>
      <c r="B225" s="50" t="s">
        <v>48</v>
      </c>
      <c r="C225" s="49"/>
      <c r="D225" s="50" t="s">
        <v>363</v>
      </c>
      <c r="E225" s="51"/>
      <c r="F225" s="49" t="s">
        <v>803</v>
      </c>
      <c r="G225" s="49" t="s">
        <v>1208</v>
      </c>
      <c r="H225" s="49">
        <v>57</v>
      </c>
      <c r="I225" s="37"/>
      <c r="J225" s="37">
        <v>33520</v>
      </c>
      <c r="K225" s="37">
        <f t="shared" si="3"/>
        <v>1910640</v>
      </c>
      <c r="L225" s="38"/>
    </row>
    <row r="226" spans="1:12" s="39" customFormat="1">
      <c r="A226" s="31">
        <v>220</v>
      </c>
      <c r="B226" s="50" t="s">
        <v>1115</v>
      </c>
      <c r="C226" s="49"/>
      <c r="D226" s="50" t="s">
        <v>650</v>
      </c>
      <c r="E226" s="51"/>
      <c r="F226" s="49" t="s">
        <v>651</v>
      </c>
      <c r="G226" s="49" t="s">
        <v>1208</v>
      </c>
      <c r="H226" s="49">
        <v>86</v>
      </c>
      <c r="I226" s="37"/>
      <c r="J226" s="37">
        <v>6960</v>
      </c>
      <c r="K226" s="37">
        <f t="shared" si="3"/>
        <v>598560</v>
      </c>
      <c r="L226" s="38"/>
    </row>
    <row r="227" spans="1:12" s="39" customFormat="1">
      <c r="A227" s="31">
        <v>221</v>
      </c>
      <c r="B227" s="45" t="s">
        <v>1114</v>
      </c>
      <c r="C227" s="44"/>
      <c r="D227" s="45" t="s">
        <v>646</v>
      </c>
      <c r="E227" s="31"/>
      <c r="F227" s="42" t="s">
        <v>647</v>
      </c>
      <c r="G227" s="46" t="s">
        <v>1208</v>
      </c>
      <c r="H227" s="31">
        <v>18</v>
      </c>
      <c r="I227" s="48"/>
      <c r="J227" s="48">
        <v>4930</v>
      </c>
      <c r="K227" s="37">
        <f t="shared" si="3"/>
        <v>88740</v>
      </c>
      <c r="L227" s="38"/>
    </row>
    <row r="228" spans="1:12" s="39" customFormat="1">
      <c r="A228" s="31">
        <v>222</v>
      </c>
      <c r="B228" s="45" t="s">
        <v>1149</v>
      </c>
      <c r="C228" s="44"/>
      <c r="D228" s="45" t="s">
        <v>663</v>
      </c>
      <c r="E228" s="31"/>
      <c r="F228" s="42" t="s">
        <v>664</v>
      </c>
      <c r="G228" s="46" t="s">
        <v>1208</v>
      </c>
      <c r="H228" s="31">
        <v>52</v>
      </c>
      <c r="I228" s="48"/>
      <c r="J228" s="48">
        <v>3500</v>
      </c>
      <c r="K228" s="37">
        <f t="shared" si="3"/>
        <v>182000</v>
      </c>
      <c r="L228" s="38"/>
    </row>
    <row r="229" spans="1:12" s="39" customFormat="1">
      <c r="A229" s="31">
        <v>223</v>
      </c>
      <c r="B229" s="70" t="s">
        <v>1149</v>
      </c>
      <c r="C229" s="34"/>
      <c r="D229" s="70" t="s">
        <v>665</v>
      </c>
      <c r="E229" s="31"/>
      <c r="F229" s="31" t="s">
        <v>666</v>
      </c>
      <c r="G229" s="31" t="s">
        <v>1208</v>
      </c>
      <c r="H229" s="31">
        <v>76</v>
      </c>
      <c r="I229" s="48"/>
      <c r="J229" s="48">
        <v>4990</v>
      </c>
      <c r="K229" s="37">
        <f t="shared" si="3"/>
        <v>379240</v>
      </c>
      <c r="L229" s="38"/>
    </row>
    <row r="230" spans="1:12" s="39" customFormat="1">
      <c r="A230" s="31">
        <v>224</v>
      </c>
      <c r="B230" s="75" t="s">
        <v>1066</v>
      </c>
      <c r="C230" s="31"/>
      <c r="D230" s="41" t="s">
        <v>625</v>
      </c>
      <c r="E230" s="31"/>
      <c r="F230" s="42" t="s">
        <v>626</v>
      </c>
      <c r="G230" s="46" t="s">
        <v>1208</v>
      </c>
      <c r="H230" s="31">
        <v>218</v>
      </c>
      <c r="I230" s="48"/>
      <c r="J230" s="48">
        <v>5520</v>
      </c>
      <c r="K230" s="37">
        <f t="shared" si="3"/>
        <v>1203360</v>
      </c>
      <c r="L230" s="38"/>
    </row>
    <row r="231" spans="1:12" s="39" customFormat="1">
      <c r="A231" s="31">
        <v>225</v>
      </c>
      <c r="B231" s="70" t="s">
        <v>1066</v>
      </c>
      <c r="C231" s="34"/>
      <c r="D231" s="50" t="s">
        <v>633</v>
      </c>
      <c r="E231" s="51"/>
      <c r="F231" s="49" t="s">
        <v>634</v>
      </c>
      <c r="G231" s="49" t="s">
        <v>1208</v>
      </c>
      <c r="H231" s="54">
        <v>20</v>
      </c>
      <c r="I231" s="48"/>
      <c r="J231" s="48">
        <v>7320</v>
      </c>
      <c r="K231" s="37">
        <f t="shared" si="3"/>
        <v>146400</v>
      </c>
      <c r="L231" s="38"/>
    </row>
    <row r="232" spans="1:12" s="39" customFormat="1">
      <c r="A232" s="31">
        <v>226</v>
      </c>
      <c r="B232" s="50" t="s">
        <v>1114</v>
      </c>
      <c r="C232" s="49"/>
      <c r="D232" s="50" t="s">
        <v>648</v>
      </c>
      <c r="E232" s="51"/>
      <c r="F232" s="49" t="s">
        <v>649</v>
      </c>
      <c r="G232" s="49" t="s">
        <v>1208</v>
      </c>
      <c r="H232" s="49">
        <v>24</v>
      </c>
      <c r="I232" s="37"/>
      <c r="J232" s="37">
        <v>9350</v>
      </c>
      <c r="K232" s="37">
        <f t="shared" si="3"/>
        <v>224400</v>
      </c>
      <c r="L232" s="38"/>
    </row>
    <row r="233" spans="1:12" s="39" customFormat="1">
      <c r="A233" s="31">
        <v>227</v>
      </c>
      <c r="B233" s="50" t="s">
        <v>1066</v>
      </c>
      <c r="C233" s="49"/>
      <c r="D233" s="50" t="s">
        <v>364</v>
      </c>
      <c r="E233" s="51"/>
      <c r="F233" s="49" t="s">
        <v>764</v>
      </c>
      <c r="G233" s="49" t="s">
        <v>1208</v>
      </c>
      <c r="H233" s="49">
        <v>84</v>
      </c>
      <c r="I233" s="37"/>
      <c r="J233" s="37">
        <v>18790</v>
      </c>
      <c r="K233" s="37">
        <f t="shared" si="3"/>
        <v>1578360</v>
      </c>
      <c r="L233" s="38"/>
    </row>
    <row r="234" spans="1:12" s="39" customFormat="1">
      <c r="A234" s="31">
        <v>228</v>
      </c>
      <c r="B234" s="33" t="s">
        <v>1112</v>
      </c>
      <c r="C234" s="32"/>
      <c r="D234" s="33" t="s">
        <v>181</v>
      </c>
      <c r="E234" s="31"/>
      <c r="F234" s="31" t="s">
        <v>637</v>
      </c>
      <c r="G234" s="31" t="s">
        <v>1208</v>
      </c>
      <c r="H234" s="31">
        <v>126</v>
      </c>
      <c r="I234" s="48"/>
      <c r="J234" s="48">
        <v>6520</v>
      </c>
      <c r="K234" s="37">
        <f t="shared" si="3"/>
        <v>821520</v>
      </c>
      <c r="L234" s="38"/>
    </row>
    <row r="235" spans="1:12" s="39" customFormat="1">
      <c r="A235" s="31">
        <v>229</v>
      </c>
      <c r="B235" s="75" t="s">
        <v>1115</v>
      </c>
      <c r="C235" s="31"/>
      <c r="D235" s="41" t="s">
        <v>652</v>
      </c>
      <c r="E235" s="31"/>
      <c r="F235" s="42" t="s">
        <v>653</v>
      </c>
      <c r="G235" s="46" t="s">
        <v>1208</v>
      </c>
      <c r="H235" s="31">
        <v>8</v>
      </c>
      <c r="I235" s="48"/>
      <c r="J235" s="48">
        <v>5620</v>
      </c>
      <c r="K235" s="37">
        <f t="shared" si="3"/>
        <v>44960</v>
      </c>
      <c r="L235" s="38"/>
    </row>
    <row r="236" spans="1:12" s="39" customFormat="1">
      <c r="A236" s="31">
        <v>230</v>
      </c>
      <c r="B236" s="50" t="s">
        <v>1114</v>
      </c>
      <c r="C236" s="49"/>
      <c r="D236" s="50" t="s">
        <v>644</v>
      </c>
      <c r="E236" s="51"/>
      <c r="F236" s="49" t="s">
        <v>645</v>
      </c>
      <c r="G236" s="49" t="s">
        <v>1208</v>
      </c>
      <c r="H236" s="49">
        <v>208</v>
      </c>
      <c r="I236" s="37"/>
      <c r="J236" s="37">
        <v>6130</v>
      </c>
      <c r="K236" s="37">
        <f t="shared" si="3"/>
        <v>1275040</v>
      </c>
      <c r="L236" s="38"/>
    </row>
    <row r="237" spans="1:12" s="39" customFormat="1">
      <c r="A237" s="31">
        <v>231</v>
      </c>
      <c r="B237" s="50" t="s">
        <v>1066</v>
      </c>
      <c r="C237" s="49"/>
      <c r="D237" s="50" t="s">
        <v>631</v>
      </c>
      <c r="E237" s="51"/>
      <c r="F237" s="49" t="s">
        <v>632</v>
      </c>
      <c r="G237" s="49" t="s">
        <v>1208</v>
      </c>
      <c r="H237" s="49">
        <v>15</v>
      </c>
      <c r="I237" s="37"/>
      <c r="J237" s="37">
        <v>3630</v>
      </c>
      <c r="K237" s="37">
        <f t="shared" si="3"/>
        <v>54450</v>
      </c>
      <c r="L237" s="38"/>
    </row>
    <row r="238" spans="1:12" s="39" customFormat="1">
      <c r="A238" s="31">
        <v>232</v>
      </c>
      <c r="B238" s="45" t="s">
        <v>64</v>
      </c>
      <c r="C238" s="44"/>
      <c r="D238" s="45" t="s">
        <v>173</v>
      </c>
      <c r="E238" s="31"/>
      <c r="F238" s="42" t="s">
        <v>623</v>
      </c>
      <c r="G238" s="46" t="s">
        <v>1208</v>
      </c>
      <c r="H238" s="31">
        <v>44</v>
      </c>
      <c r="I238" s="48"/>
      <c r="J238" s="48">
        <v>13880</v>
      </c>
      <c r="K238" s="37">
        <f t="shared" si="3"/>
        <v>610720</v>
      </c>
      <c r="L238" s="38"/>
    </row>
    <row r="239" spans="1:12" s="39" customFormat="1">
      <c r="A239" s="31">
        <v>233</v>
      </c>
      <c r="B239" s="75" t="s">
        <v>1115</v>
      </c>
      <c r="C239" s="31"/>
      <c r="D239" s="41" t="s">
        <v>365</v>
      </c>
      <c r="E239" s="31"/>
      <c r="F239" s="42" t="s">
        <v>194</v>
      </c>
      <c r="G239" s="46" t="s">
        <v>1208</v>
      </c>
      <c r="H239" s="31">
        <v>3</v>
      </c>
      <c r="I239" s="48"/>
      <c r="J239" s="48">
        <v>10770</v>
      </c>
      <c r="K239" s="37">
        <f t="shared" si="3"/>
        <v>32310</v>
      </c>
      <c r="L239" s="38"/>
    </row>
    <row r="240" spans="1:12" s="39" customFormat="1">
      <c r="A240" s="31">
        <v>234</v>
      </c>
      <c r="B240" s="109" t="s">
        <v>1146</v>
      </c>
      <c r="C240" s="84"/>
      <c r="D240" s="50" t="s">
        <v>661</v>
      </c>
      <c r="E240" s="51"/>
      <c r="F240" s="49" t="s">
        <v>662</v>
      </c>
      <c r="G240" s="83" t="s">
        <v>1208</v>
      </c>
      <c r="H240" s="54">
        <v>12</v>
      </c>
      <c r="I240" s="48"/>
      <c r="J240" s="48">
        <v>5520</v>
      </c>
      <c r="K240" s="37">
        <f t="shared" si="3"/>
        <v>66240</v>
      </c>
      <c r="L240" s="38"/>
    </row>
    <row r="241" spans="1:12" s="39" customFormat="1">
      <c r="A241" s="31">
        <v>235</v>
      </c>
      <c r="B241" s="50" t="s">
        <v>64</v>
      </c>
      <c r="C241" s="83"/>
      <c r="D241" s="50" t="s">
        <v>751</v>
      </c>
      <c r="E241" s="51"/>
      <c r="F241" s="49" t="s">
        <v>752</v>
      </c>
      <c r="G241" s="83" t="s">
        <v>1208</v>
      </c>
      <c r="H241" s="49">
        <v>9</v>
      </c>
      <c r="I241" s="37"/>
      <c r="J241" s="37">
        <v>20170</v>
      </c>
      <c r="K241" s="37">
        <f t="shared" si="3"/>
        <v>181530</v>
      </c>
      <c r="L241" s="38"/>
    </row>
    <row r="242" spans="1:12" s="39" customFormat="1">
      <c r="A242" s="31">
        <v>236</v>
      </c>
      <c r="B242" s="50" t="s">
        <v>1112</v>
      </c>
      <c r="C242" s="83"/>
      <c r="D242" s="50" t="s">
        <v>185</v>
      </c>
      <c r="E242" s="51"/>
      <c r="F242" s="49" t="s">
        <v>186</v>
      </c>
      <c r="G242" s="83" t="s">
        <v>1208</v>
      </c>
      <c r="H242" s="49">
        <v>18</v>
      </c>
      <c r="I242" s="37"/>
      <c r="J242" s="37">
        <v>8190</v>
      </c>
      <c r="K242" s="37">
        <f t="shared" si="3"/>
        <v>147420</v>
      </c>
      <c r="L242" s="38"/>
    </row>
    <row r="243" spans="1:12" s="39" customFormat="1">
      <c r="A243" s="31">
        <v>237</v>
      </c>
      <c r="B243" s="75" t="s">
        <v>1066</v>
      </c>
      <c r="C243" s="31"/>
      <c r="D243" s="41" t="s">
        <v>175</v>
      </c>
      <c r="E243" s="31"/>
      <c r="F243" s="42" t="s">
        <v>757</v>
      </c>
      <c r="G243" s="46" t="s">
        <v>1208</v>
      </c>
      <c r="H243" s="31">
        <v>33</v>
      </c>
      <c r="I243" s="48"/>
      <c r="J243" s="48">
        <v>4790</v>
      </c>
      <c r="K243" s="37">
        <f t="shared" si="3"/>
        <v>158070</v>
      </c>
      <c r="L243" s="38"/>
    </row>
    <row r="244" spans="1:12" s="39" customFormat="1">
      <c r="A244" s="31">
        <v>238</v>
      </c>
      <c r="B244" s="75" t="s">
        <v>1113</v>
      </c>
      <c r="C244" s="31"/>
      <c r="D244" s="41" t="s">
        <v>640</v>
      </c>
      <c r="E244" s="31"/>
      <c r="F244" s="42" t="s">
        <v>641</v>
      </c>
      <c r="G244" s="46" t="s">
        <v>1208</v>
      </c>
      <c r="H244" s="31">
        <v>134</v>
      </c>
      <c r="I244" s="48"/>
      <c r="J244" s="48">
        <v>1470</v>
      </c>
      <c r="K244" s="37">
        <f t="shared" si="3"/>
        <v>196980</v>
      </c>
      <c r="L244" s="38"/>
    </row>
    <row r="245" spans="1:12" s="39" customFormat="1">
      <c r="A245" s="31">
        <v>239</v>
      </c>
      <c r="B245" s="75" t="s">
        <v>1115</v>
      </c>
      <c r="C245" s="31"/>
      <c r="D245" s="41" t="s">
        <v>192</v>
      </c>
      <c r="E245" s="31"/>
      <c r="F245" s="42" t="s">
        <v>784</v>
      </c>
      <c r="G245" s="46" t="s">
        <v>1208</v>
      </c>
      <c r="H245" s="31">
        <v>24</v>
      </c>
      <c r="I245" s="48"/>
      <c r="J245" s="48">
        <v>6590</v>
      </c>
      <c r="K245" s="37">
        <f t="shared" si="3"/>
        <v>158160</v>
      </c>
      <c r="L245" s="38"/>
    </row>
    <row r="246" spans="1:12" s="39" customFormat="1">
      <c r="A246" s="31">
        <v>240</v>
      </c>
      <c r="B246" s="75" t="s">
        <v>1066</v>
      </c>
      <c r="C246" s="31"/>
      <c r="D246" s="41" t="s">
        <v>629</v>
      </c>
      <c r="E246" s="31"/>
      <c r="F246" s="42" t="s">
        <v>630</v>
      </c>
      <c r="G246" s="46" t="s">
        <v>1208</v>
      </c>
      <c r="H246" s="31">
        <v>19</v>
      </c>
      <c r="I246" s="48"/>
      <c r="J246" s="48">
        <v>4030</v>
      </c>
      <c r="K246" s="37">
        <f t="shared" si="3"/>
        <v>76570</v>
      </c>
      <c r="L246" s="38"/>
    </row>
    <row r="247" spans="1:12" s="39" customFormat="1">
      <c r="A247" s="31">
        <v>241</v>
      </c>
      <c r="B247" s="75" t="s">
        <v>1112</v>
      </c>
      <c r="C247" s="31"/>
      <c r="D247" s="41" t="s">
        <v>180</v>
      </c>
      <c r="E247" s="31"/>
      <c r="F247" s="42" t="s">
        <v>769</v>
      </c>
      <c r="G247" s="46" t="s">
        <v>1208</v>
      </c>
      <c r="H247" s="31">
        <v>9</v>
      </c>
      <c r="I247" s="48"/>
      <c r="J247" s="48">
        <v>6000</v>
      </c>
      <c r="K247" s="37">
        <f t="shared" si="3"/>
        <v>54000</v>
      </c>
      <c r="L247" s="38"/>
    </row>
    <row r="248" spans="1:12" s="39" customFormat="1">
      <c r="A248" s="31">
        <v>242</v>
      </c>
      <c r="B248" s="75" t="s">
        <v>1112</v>
      </c>
      <c r="C248" s="31"/>
      <c r="D248" s="41" t="s">
        <v>638</v>
      </c>
      <c r="E248" s="31"/>
      <c r="F248" s="42" t="s">
        <v>639</v>
      </c>
      <c r="G248" s="46" t="s">
        <v>1208</v>
      </c>
      <c r="H248" s="31">
        <v>20</v>
      </c>
      <c r="I248" s="48"/>
      <c r="J248" s="48">
        <v>4790</v>
      </c>
      <c r="K248" s="37">
        <f t="shared" si="3"/>
        <v>95800</v>
      </c>
      <c r="L248" s="38"/>
    </row>
    <row r="249" spans="1:12" s="39" customFormat="1">
      <c r="A249" s="31">
        <v>243</v>
      </c>
      <c r="B249" s="75" t="s">
        <v>1114</v>
      </c>
      <c r="C249" s="31"/>
      <c r="D249" s="41" t="s">
        <v>191</v>
      </c>
      <c r="E249" s="31"/>
      <c r="F249" s="42" t="s">
        <v>781</v>
      </c>
      <c r="G249" s="46" t="s">
        <v>1208</v>
      </c>
      <c r="H249" s="31">
        <v>162</v>
      </c>
      <c r="I249" s="48"/>
      <c r="J249" s="48">
        <v>8570</v>
      </c>
      <c r="K249" s="37">
        <f t="shared" si="3"/>
        <v>1388340</v>
      </c>
      <c r="L249" s="38"/>
    </row>
    <row r="250" spans="1:12" s="39" customFormat="1">
      <c r="A250" s="31">
        <v>244</v>
      </c>
      <c r="B250" s="75" t="s">
        <v>1066</v>
      </c>
      <c r="C250" s="31"/>
      <c r="D250" s="41" t="s">
        <v>627</v>
      </c>
      <c r="E250" s="31"/>
      <c r="F250" s="42" t="s">
        <v>628</v>
      </c>
      <c r="G250" s="46" t="s">
        <v>1208</v>
      </c>
      <c r="H250" s="31">
        <v>18</v>
      </c>
      <c r="I250" s="48"/>
      <c r="J250" s="48">
        <v>5040</v>
      </c>
      <c r="K250" s="37">
        <f t="shared" si="3"/>
        <v>90720</v>
      </c>
      <c r="L250" s="38"/>
    </row>
    <row r="251" spans="1:12" s="39" customFormat="1">
      <c r="A251" s="31">
        <v>245</v>
      </c>
      <c r="B251" s="75" t="s">
        <v>1113</v>
      </c>
      <c r="C251" s="31"/>
      <c r="D251" s="41" t="s">
        <v>189</v>
      </c>
      <c r="E251" s="31"/>
      <c r="F251" s="42" t="s">
        <v>771</v>
      </c>
      <c r="G251" s="46" t="s">
        <v>1208</v>
      </c>
      <c r="H251" s="31">
        <v>117</v>
      </c>
      <c r="I251" s="48"/>
      <c r="J251" s="48">
        <v>2300</v>
      </c>
      <c r="K251" s="37">
        <f t="shared" si="3"/>
        <v>269100</v>
      </c>
      <c r="L251" s="38"/>
    </row>
    <row r="252" spans="1:12" s="39" customFormat="1">
      <c r="A252" s="31">
        <v>246</v>
      </c>
      <c r="B252" s="45" t="s">
        <v>1146</v>
      </c>
      <c r="C252" s="44"/>
      <c r="D252" s="43" t="s">
        <v>659</v>
      </c>
      <c r="E252" s="46"/>
      <c r="F252" s="42" t="s">
        <v>660</v>
      </c>
      <c r="G252" s="46" t="s">
        <v>1208</v>
      </c>
      <c r="H252" s="31">
        <v>0</v>
      </c>
      <c r="I252" s="48"/>
      <c r="J252" s="48">
        <v>3860</v>
      </c>
      <c r="K252" s="37">
        <f t="shared" si="3"/>
        <v>0</v>
      </c>
      <c r="L252" s="38"/>
    </row>
    <row r="253" spans="1:12" s="39" customFormat="1">
      <c r="A253" s="31">
        <v>247</v>
      </c>
      <c r="B253" s="45" t="s">
        <v>1150</v>
      </c>
      <c r="C253" s="44"/>
      <c r="D253" s="43" t="s">
        <v>667</v>
      </c>
      <c r="E253" s="46"/>
      <c r="F253" s="42" t="s">
        <v>668</v>
      </c>
      <c r="G253" s="46" t="s">
        <v>1208</v>
      </c>
      <c r="H253" s="31">
        <v>15</v>
      </c>
      <c r="I253" s="48"/>
      <c r="J253" s="48">
        <v>2680</v>
      </c>
      <c r="K253" s="37">
        <f t="shared" si="3"/>
        <v>40200</v>
      </c>
      <c r="L253" s="38"/>
    </row>
    <row r="254" spans="1:12" s="39" customFormat="1">
      <c r="A254" s="31">
        <v>248</v>
      </c>
      <c r="B254" s="45" t="s">
        <v>1150</v>
      </c>
      <c r="C254" s="44"/>
      <c r="D254" s="43" t="s">
        <v>809</v>
      </c>
      <c r="E254" s="31"/>
      <c r="F254" s="42" t="s">
        <v>676</v>
      </c>
      <c r="G254" s="46" t="s">
        <v>1208</v>
      </c>
      <c r="H254" s="31">
        <v>3</v>
      </c>
      <c r="I254" s="48"/>
      <c r="J254" s="48">
        <v>5160</v>
      </c>
      <c r="K254" s="37">
        <f t="shared" si="3"/>
        <v>15480</v>
      </c>
      <c r="L254" s="38"/>
    </row>
    <row r="255" spans="1:12" s="39" customFormat="1">
      <c r="A255" s="31">
        <v>249</v>
      </c>
      <c r="B255" s="50" t="s">
        <v>1112</v>
      </c>
      <c r="C255" s="49"/>
      <c r="D255" s="81" t="s">
        <v>184</v>
      </c>
      <c r="E255" s="49"/>
      <c r="F255" s="49" t="s">
        <v>770</v>
      </c>
      <c r="G255" s="83" t="s">
        <v>1208</v>
      </c>
      <c r="H255" s="49">
        <v>87</v>
      </c>
      <c r="I255" s="37"/>
      <c r="J255" s="37">
        <v>7460</v>
      </c>
      <c r="K255" s="37">
        <f t="shared" si="3"/>
        <v>649020</v>
      </c>
      <c r="L255" s="38"/>
    </row>
    <row r="256" spans="1:12" s="39" customFormat="1">
      <c r="A256" s="31">
        <v>250</v>
      </c>
      <c r="B256" s="50" t="s">
        <v>1115</v>
      </c>
      <c r="C256" s="49"/>
      <c r="D256" s="81" t="s">
        <v>193</v>
      </c>
      <c r="E256" s="49"/>
      <c r="F256" s="49" t="s">
        <v>786</v>
      </c>
      <c r="G256" s="83" t="s">
        <v>1208</v>
      </c>
      <c r="H256" s="49">
        <v>33</v>
      </c>
      <c r="I256" s="37"/>
      <c r="J256" s="37">
        <v>9500</v>
      </c>
      <c r="K256" s="37">
        <f t="shared" si="3"/>
        <v>313500</v>
      </c>
      <c r="L256" s="38"/>
    </row>
    <row r="257" spans="1:12" s="39" customFormat="1">
      <c r="A257" s="31">
        <v>251</v>
      </c>
      <c r="B257" s="45" t="s">
        <v>45</v>
      </c>
      <c r="C257" s="44"/>
      <c r="D257" s="45" t="s">
        <v>366</v>
      </c>
      <c r="E257" s="31"/>
      <c r="F257" s="42" t="s">
        <v>795</v>
      </c>
      <c r="G257" s="46" t="s">
        <v>1208</v>
      </c>
      <c r="H257" s="31">
        <v>6</v>
      </c>
      <c r="I257" s="48"/>
      <c r="J257" s="48">
        <v>9360</v>
      </c>
      <c r="K257" s="37">
        <f t="shared" si="3"/>
        <v>56160</v>
      </c>
      <c r="L257" s="38"/>
    </row>
    <row r="258" spans="1:12" s="39" customFormat="1">
      <c r="A258" s="31">
        <v>252</v>
      </c>
      <c r="B258" s="45" t="s">
        <v>39</v>
      </c>
      <c r="C258" s="44"/>
      <c r="D258" s="45" t="s">
        <v>367</v>
      </c>
      <c r="E258" s="31"/>
      <c r="F258" s="42" t="s">
        <v>791</v>
      </c>
      <c r="G258" s="46" t="s">
        <v>1208</v>
      </c>
      <c r="H258" s="31">
        <v>0</v>
      </c>
      <c r="I258" s="48"/>
      <c r="J258" s="48">
        <v>12300</v>
      </c>
      <c r="K258" s="37">
        <f t="shared" si="3"/>
        <v>0</v>
      </c>
      <c r="L258" s="38"/>
    </row>
    <row r="259" spans="1:12" s="39" customFormat="1">
      <c r="A259" s="31">
        <v>253</v>
      </c>
      <c r="B259" s="99" t="s">
        <v>64</v>
      </c>
      <c r="C259" s="54"/>
      <c r="D259" s="55" t="s">
        <v>754</v>
      </c>
      <c r="E259" s="54"/>
      <c r="F259" s="56" t="s">
        <v>755</v>
      </c>
      <c r="G259" s="46" t="s">
        <v>1208</v>
      </c>
      <c r="H259" s="54">
        <v>3</v>
      </c>
      <c r="I259" s="48"/>
      <c r="J259" s="48">
        <v>12510</v>
      </c>
      <c r="K259" s="37">
        <f t="shared" si="3"/>
        <v>37530</v>
      </c>
      <c r="L259" s="38"/>
    </row>
    <row r="260" spans="1:12" s="39" customFormat="1">
      <c r="A260" s="31">
        <v>254</v>
      </c>
      <c r="B260" s="50" t="s">
        <v>1112</v>
      </c>
      <c r="C260" s="49"/>
      <c r="D260" s="81" t="s">
        <v>182</v>
      </c>
      <c r="E260" s="49"/>
      <c r="F260" s="83" t="s">
        <v>183</v>
      </c>
      <c r="G260" s="83" t="s">
        <v>1208</v>
      </c>
      <c r="H260" s="49">
        <v>18</v>
      </c>
      <c r="I260" s="37"/>
      <c r="J260" s="37">
        <v>8190</v>
      </c>
      <c r="K260" s="37">
        <f t="shared" si="3"/>
        <v>147420</v>
      </c>
      <c r="L260" s="38"/>
    </row>
    <row r="261" spans="1:12" s="39" customFormat="1">
      <c r="A261" s="31">
        <v>255</v>
      </c>
      <c r="B261" s="50" t="s">
        <v>24</v>
      </c>
      <c r="C261" s="49"/>
      <c r="D261" s="81" t="s">
        <v>642</v>
      </c>
      <c r="E261" s="49"/>
      <c r="F261" s="83" t="s">
        <v>643</v>
      </c>
      <c r="G261" s="83" t="s">
        <v>1208</v>
      </c>
      <c r="H261" s="49">
        <v>36</v>
      </c>
      <c r="I261" s="37"/>
      <c r="J261" s="37">
        <v>1790</v>
      </c>
      <c r="K261" s="37">
        <f t="shared" si="3"/>
        <v>64440</v>
      </c>
      <c r="L261" s="38"/>
    </row>
    <row r="262" spans="1:12" s="39" customFormat="1">
      <c r="A262" s="31">
        <v>256</v>
      </c>
      <c r="B262" s="70" t="s">
        <v>1066</v>
      </c>
      <c r="C262" s="34"/>
      <c r="D262" s="50" t="s">
        <v>176</v>
      </c>
      <c r="E262" s="51"/>
      <c r="F262" s="49" t="s">
        <v>758</v>
      </c>
      <c r="G262" s="49" t="s">
        <v>1208</v>
      </c>
      <c r="H262" s="54">
        <v>57</v>
      </c>
      <c r="I262" s="48"/>
      <c r="J262" s="48">
        <v>6670</v>
      </c>
      <c r="K262" s="37">
        <f t="shared" si="3"/>
        <v>380190</v>
      </c>
      <c r="L262" s="38"/>
    </row>
    <row r="263" spans="1:12" s="39" customFormat="1">
      <c r="A263" s="31">
        <v>257</v>
      </c>
      <c r="B263" s="50" t="s">
        <v>1066</v>
      </c>
      <c r="C263" s="49"/>
      <c r="D263" s="50" t="s">
        <v>177</v>
      </c>
      <c r="E263" s="51"/>
      <c r="F263" s="49" t="s">
        <v>178</v>
      </c>
      <c r="G263" s="49" t="s">
        <v>1208</v>
      </c>
      <c r="H263" s="49">
        <v>0</v>
      </c>
      <c r="I263" s="37"/>
      <c r="J263" s="37">
        <v>5180</v>
      </c>
      <c r="K263" s="37">
        <f t="shared" si="3"/>
        <v>0</v>
      </c>
      <c r="L263" s="38"/>
    </row>
    <row r="264" spans="1:12" s="39" customFormat="1">
      <c r="A264" s="31">
        <v>258</v>
      </c>
      <c r="B264" s="50" t="s">
        <v>1114</v>
      </c>
      <c r="C264" s="49"/>
      <c r="D264" s="50" t="s">
        <v>368</v>
      </c>
      <c r="E264" s="51"/>
      <c r="F264" s="49" t="s">
        <v>778</v>
      </c>
      <c r="G264" s="49" t="s">
        <v>1208</v>
      </c>
      <c r="H264" s="49">
        <v>0</v>
      </c>
      <c r="I264" s="37"/>
      <c r="J264" s="37">
        <v>7230</v>
      </c>
      <c r="K264" s="37">
        <f t="shared" ref="K264:K327" si="4">H264*J264</f>
        <v>0</v>
      </c>
      <c r="L264" s="38"/>
    </row>
    <row r="265" spans="1:12" s="39" customFormat="1">
      <c r="A265" s="31">
        <v>259</v>
      </c>
      <c r="B265" s="75" t="s">
        <v>45</v>
      </c>
      <c r="C265" s="31"/>
      <c r="D265" s="41" t="s">
        <v>369</v>
      </c>
      <c r="E265" s="31"/>
      <c r="F265" s="42" t="s">
        <v>794</v>
      </c>
      <c r="G265" s="46" t="s">
        <v>1208</v>
      </c>
      <c r="H265" s="31">
        <v>0</v>
      </c>
      <c r="I265" s="48"/>
      <c r="J265" s="48">
        <v>8570</v>
      </c>
      <c r="K265" s="37">
        <f t="shared" si="4"/>
        <v>0</v>
      </c>
      <c r="L265" s="38"/>
    </row>
    <row r="266" spans="1:12" s="39" customFormat="1">
      <c r="A266" s="31">
        <v>260</v>
      </c>
      <c r="B266" s="33" t="s">
        <v>1115</v>
      </c>
      <c r="C266" s="32"/>
      <c r="D266" s="43" t="s">
        <v>370</v>
      </c>
      <c r="E266" s="34"/>
      <c r="F266" s="31" t="s">
        <v>785</v>
      </c>
      <c r="G266" s="32" t="s">
        <v>1208</v>
      </c>
      <c r="H266" s="32">
        <v>0</v>
      </c>
      <c r="I266" s="37"/>
      <c r="J266" s="37">
        <v>8190</v>
      </c>
      <c r="K266" s="37">
        <f t="shared" si="4"/>
        <v>0</v>
      </c>
      <c r="L266" s="38"/>
    </row>
    <row r="267" spans="1:12" s="39" customFormat="1">
      <c r="A267" s="31">
        <v>261</v>
      </c>
      <c r="B267" s="45" t="s">
        <v>48</v>
      </c>
      <c r="C267" s="44"/>
      <c r="D267" s="45" t="s">
        <v>371</v>
      </c>
      <c r="E267" s="31"/>
      <c r="F267" s="31" t="s">
        <v>799</v>
      </c>
      <c r="G267" s="46" t="s">
        <v>1208</v>
      </c>
      <c r="H267" s="31">
        <v>0</v>
      </c>
      <c r="I267" s="48"/>
      <c r="J267" s="48">
        <v>9100</v>
      </c>
      <c r="K267" s="37">
        <f t="shared" si="4"/>
        <v>0</v>
      </c>
      <c r="L267" s="38"/>
    </row>
    <row r="268" spans="1:12" s="39" customFormat="1">
      <c r="A268" s="31">
        <v>262</v>
      </c>
      <c r="B268" s="45" t="s">
        <v>1146</v>
      </c>
      <c r="C268" s="44"/>
      <c r="D268" s="45" t="s">
        <v>199</v>
      </c>
      <c r="E268" s="31"/>
      <c r="F268" s="31" t="s">
        <v>793</v>
      </c>
      <c r="G268" s="46" t="s">
        <v>1208</v>
      </c>
      <c r="H268" s="31">
        <v>3</v>
      </c>
      <c r="I268" s="48"/>
      <c r="J268" s="48">
        <v>4990</v>
      </c>
      <c r="K268" s="37">
        <f t="shared" si="4"/>
        <v>14970</v>
      </c>
      <c r="L268" s="38"/>
    </row>
    <row r="269" spans="1:12" s="39" customFormat="1">
      <c r="A269" s="31">
        <v>263</v>
      </c>
      <c r="B269" s="45" t="s">
        <v>64</v>
      </c>
      <c r="C269" s="44"/>
      <c r="D269" s="45" t="s">
        <v>621</v>
      </c>
      <c r="E269" s="31"/>
      <c r="F269" s="31" t="s">
        <v>622</v>
      </c>
      <c r="G269" s="46" t="s">
        <v>1208</v>
      </c>
      <c r="H269" s="31">
        <v>11</v>
      </c>
      <c r="I269" s="48"/>
      <c r="J269" s="48">
        <v>10170</v>
      </c>
      <c r="K269" s="37">
        <f t="shared" si="4"/>
        <v>111870</v>
      </c>
      <c r="L269" s="38"/>
    </row>
    <row r="270" spans="1:12" s="39" customFormat="1">
      <c r="A270" s="31">
        <v>264</v>
      </c>
      <c r="B270" s="86" t="s">
        <v>1066</v>
      </c>
      <c r="C270" s="85"/>
      <c r="D270" s="86" t="s">
        <v>635</v>
      </c>
      <c r="E270" s="73"/>
      <c r="F270" s="73" t="s">
        <v>636</v>
      </c>
      <c r="G270" s="46" t="s">
        <v>1208</v>
      </c>
      <c r="H270" s="73">
        <v>10</v>
      </c>
      <c r="I270" s="48"/>
      <c r="J270" s="48">
        <v>5350</v>
      </c>
      <c r="K270" s="37">
        <f t="shared" si="4"/>
        <v>53500</v>
      </c>
      <c r="L270" s="38"/>
    </row>
    <row r="271" spans="1:12" s="39" customFormat="1">
      <c r="A271" s="31">
        <v>265</v>
      </c>
      <c r="B271" s="86" t="s">
        <v>1112</v>
      </c>
      <c r="C271" s="85"/>
      <c r="D271" s="86" t="s">
        <v>187</v>
      </c>
      <c r="E271" s="73"/>
      <c r="F271" s="73" t="s">
        <v>188</v>
      </c>
      <c r="G271" s="46" t="s">
        <v>1208</v>
      </c>
      <c r="H271" s="73">
        <v>0</v>
      </c>
      <c r="I271" s="48"/>
      <c r="J271" s="48">
        <v>5620</v>
      </c>
      <c r="K271" s="37">
        <f t="shared" si="4"/>
        <v>0</v>
      </c>
      <c r="L271" s="38"/>
    </row>
    <row r="272" spans="1:12" s="39" customFormat="1">
      <c r="A272" s="31">
        <v>266</v>
      </c>
      <c r="B272" s="99" t="s">
        <v>39</v>
      </c>
      <c r="C272" s="54"/>
      <c r="D272" s="55" t="s">
        <v>372</v>
      </c>
      <c r="E272" s="54"/>
      <c r="F272" s="56" t="s">
        <v>792</v>
      </c>
      <c r="G272" s="59" t="s">
        <v>1208</v>
      </c>
      <c r="H272" s="54">
        <v>0</v>
      </c>
      <c r="I272" s="48"/>
      <c r="J272" s="48">
        <v>19480</v>
      </c>
      <c r="K272" s="37">
        <f t="shared" si="4"/>
        <v>0</v>
      </c>
      <c r="L272" s="38"/>
    </row>
    <row r="273" spans="1:12" s="39" customFormat="1">
      <c r="A273" s="31">
        <v>267</v>
      </c>
      <c r="B273" s="50" t="s">
        <v>1113</v>
      </c>
      <c r="C273" s="49"/>
      <c r="D273" s="50" t="s">
        <v>373</v>
      </c>
      <c r="E273" s="51"/>
      <c r="F273" s="49" t="s">
        <v>773</v>
      </c>
      <c r="G273" s="49" t="s">
        <v>1208</v>
      </c>
      <c r="H273" s="49">
        <v>12</v>
      </c>
      <c r="I273" s="37"/>
      <c r="J273" s="37">
        <v>5070</v>
      </c>
      <c r="K273" s="37">
        <f t="shared" si="4"/>
        <v>60840</v>
      </c>
      <c r="L273" s="38"/>
    </row>
    <row r="274" spans="1:12" s="39" customFormat="1">
      <c r="A274" s="31">
        <v>268</v>
      </c>
      <c r="B274" s="50" t="s">
        <v>1115</v>
      </c>
      <c r="C274" s="49"/>
      <c r="D274" s="50" t="s">
        <v>374</v>
      </c>
      <c r="E274" s="51"/>
      <c r="F274" s="49" t="s">
        <v>787</v>
      </c>
      <c r="G274" s="49" t="s">
        <v>1208</v>
      </c>
      <c r="H274" s="49">
        <v>21</v>
      </c>
      <c r="I274" s="37"/>
      <c r="J274" s="37">
        <v>24990</v>
      </c>
      <c r="K274" s="37">
        <f t="shared" si="4"/>
        <v>524790</v>
      </c>
      <c r="L274" s="38"/>
    </row>
    <row r="275" spans="1:12" s="39" customFormat="1">
      <c r="A275" s="31">
        <v>269</v>
      </c>
      <c r="B275" s="70" t="s">
        <v>64</v>
      </c>
      <c r="C275" s="34"/>
      <c r="D275" s="50" t="s">
        <v>375</v>
      </c>
      <c r="E275" s="51"/>
      <c r="F275" s="49" t="s">
        <v>750</v>
      </c>
      <c r="G275" s="49" t="s">
        <v>1208</v>
      </c>
      <c r="H275" s="54">
        <v>3</v>
      </c>
      <c r="I275" s="48"/>
      <c r="J275" s="48">
        <v>37590</v>
      </c>
      <c r="K275" s="37">
        <f t="shared" si="4"/>
        <v>112770</v>
      </c>
      <c r="L275" s="38"/>
    </row>
    <row r="276" spans="1:12" s="39" customFormat="1">
      <c r="A276" s="31">
        <v>270</v>
      </c>
      <c r="B276" s="50" t="s">
        <v>1149</v>
      </c>
      <c r="C276" s="49"/>
      <c r="D276" s="50" t="s">
        <v>810</v>
      </c>
      <c r="E276" s="51"/>
      <c r="F276" s="49" t="s">
        <v>811</v>
      </c>
      <c r="G276" s="49" t="s">
        <v>1208</v>
      </c>
      <c r="H276" s="49">
        <v>3</v>
      </c>
      <c r="I276" s="37"/>
      <c r="J276" s="37">
        <v>16580</v>
      </c>
      <c r="K276" s="37">
        <f t="shared" si="4"/>
        <v>49740</v>
      </c>
      <c r="L276" s="38"/>
    </row>
    <row r="277" spans="1:12" s="39" customFormat="1">
      <c r="A277" s="31">
        <v>271</v>
      </c>
      <c r="B277" s="50" t="s">
        <v>376</v>
      </c>
      <c r="C277" s="49"/>
      <c r="D277" s="50" t="s">
        <v>654</v>
      </c>
      <c r="E277" s="51"/>
      <c r="F277" s="49" t="s">
        <v>655</v>
      </c>
      <c r="G277" s="49" t="s">
        <v>1208</v>
      </c>
      <c r="H277" s="49">
        <v>8</v>
      </c>
      <c r="I277" s="37"/>
      <c r="J277" s="37">
        <v>13630</v>
      </c>
      <c r="K277" s="37">
        <f t="shared" si="4"/>
        <v>109040</v>
      </c>
      <c r="L277" s="38"/>
    </row>
    <row r="278" spans="1:12" s="39" customFormat="1">
      <c r="A278" s="31">
        <v>272</v>
      </c>
      <c r="B278" s="75" t="s">
        <v>1130</v>
      </c>
      <c r="C278" s="31"/>
      <c r="D278" s="41" t="s">
        <v>377</v>
      </c>
      <c r="E278" s="31"/>
      <c r="F278" s="42" t="s">
        <v>790</v>
      </c>
      <c r="G278" s="46" t="s">
        <v>1208</v>
      </c>
      <c r="H278" s="31">
        <v>3</v>
      </c>
      <c r="I278" s="48"/>
      <c r="J278" s="48">
        <v>17450</v>
      </c>
      <c r="K278" s="37">
        <f t="shared" si="4"/>
        <v>52350</v>
      </c>
      <c r="L278" s="38"/>
    </row>
    <row r="279" spans="1:12" s="39" customFormat="1">
      <c r="A279" s="31">
        <v>273</v>
      </c>
      <c r="B279" s="99" t="s">
        <v>1146</v>
      </c>
      <c r="C279" s="54"/>
      <c r="D279" s="55" t="s">
        <v>197</v>
      </c>
      <c r="E279" s="54"/>
      <c r="F279" s="56" t="s">
        <v>198</v>
      </c>
      <c r="G279" s="59" t="s">
        <v>1208</v>
      </c>
      <c r="H279" s="54">
        <v>7</v>
      </c>
      <c r="I279" s="48"/>
      <c r="J279" s="48">
        <v>5380</v>
      </c>
      <c r="K279" s="37">
        <f t="shared" si="4"/>
        <v>37660</v>
      </c>
      <c r="L279" s="38"/>
    </row>
    <row r="280" spans="1:12" s="39" customFormat="1">
      <c r="A280" s="31">
        <v>274</v>
      </c>
      <c r="B280" s="50" t="s">
        <v>48</v>
      </c>
      <c r="C280" s="49"/>
      <c r="D280" s="50" t="s">
        <v>378</v>
      </c>
      <c r="E280" s="51"/>
      <c r="F280" s="49" t="s">
        <v>802</v>
      </c>
      <c r="G280" s="49" t="s">
        <v>1208</v>
      </c>
      <c r="H280" s="49">
        <v>3</v>
      </c>
      <c r="I280" s="37"/>
      <c r="J280" s="37">
        <v>24280</v>
      </c>
      <c r="K280" s="37">
        <f t="shared" si="4"/>
        <v>72840</v>
      </c>
      <c r="L280" s="38"/>
    </row>
    <row r="281" spans="1:12" s="39" customFormat="1">
      <c r="A281" s="31">
        <v>275</v>
      </c>
      <c r="B281" s="50" t="s">
        <v>1149</v>
      </c>
      <c r="C281" s="49"/>
      <c r="D281" s="50" t="s">
        <v>379</v>
      </c>
      <c r="E281" s="51"/>
      <c r="F281" s="49" t="s">
        <v>812</v>
      </c>
      <c r="G281" s="49" t="s">
        <v>1208</v>
      </c>
      <c r="H281" s="49">
        <v>6</v>
      </c>
      <c r="I281" s="37"/>
      <c r="J281" s="37">
        <v>22110</v>
      </c>
      <c r="K281" s="37">
        <f t="shared" si="4"/>
        <v>132660</v>
      </c>
      <c r="L281" s="38"/>
    </row>
    <row r="282" spans="1:12" s="39" customFormat="1">
      <c r="A282" s="31">
        <v>276</v>
      </c>
      <c r="B282" s="45" t="s">
        <v>24</v>
      </c>
      <c r="C282" s="44"/>
      <c r="D282" s="45" t="s">
        <v>380</v>
      </c>
      <c r="E282" s="31"/>
      <c r="F282" s="42" t="s">
        <v>761</v>
      </c>
      <c r="G282" s="46" t="s">
        <v>1208</v>
      </c>
      <c r="H282" s="31">
        <v>6</v>
      </c>
      <c r="I282" s="48"/>
      <c r="J282" s="48">
        <v>3160</v>
      </c>
      <c r="K282" s="37">
        <f t="shared" si="4"/>
        <v>18960</v>
      </c>
      <c r="L282" s="38"/>
    </row>
    <row r="283" spans="1:12" s="39" customFormat="1">
      <c r="A283" s="31">
        <v>277</v>
      </c>
      <c r="B283" s="45" t="s">
        <v>381</v>
      </c>
      <c r="C283" s="44"/>
      <c r="D283" s="70" t="s">
        <v>382</v>
      </c>
      <c r="E283" s="31"/>
      <c r="F283" s="42" t="s">
        <v>1101</v>
      </c>
      <c r="G283" s="46" t="s">
        <v>875</v>
      </c>
      <c r="H283" s="31">
        <v>6</v>
      </c>
      <c r="I283" s="48"/>
      <c r="J283" s="48">
        <v>110000</v>
      </c>
      <c r="K283" s="37">
        <f t="shared" si="4"/>
        <v>660000</v>
      </c>
      <c r="L283" s="38"/>
    </row>
    <row r="284" spans="1:12" s="39" customFormat="1">
      <c r="A284" s="31">
        <v>278</v>
      </c>
      <c r="B284" s="70" t="s">
        <v>148</v>
      </c>
      <c r="C284" s="34" t="s">
        <v>149</v>
      </c>
      <c r="D284" s="50" t="s">
        <v>148</v>
      </c>
      <c r="E284" s="51"/>
      <c r="F284" s="49" t="s">
        <v>150</v>
      </c>
      <c r="G284" s="49" t="s">
        <v>930</v>
      </c>
      <c r="H284" s="54">
        <v>27</v>
      </c>
      <c r="I284" s="48"/>
      <c r="J284" s="48">
        <v>200000</v>
      </c>
      <c r="K284" s="37">
        <f t="shared" si="4"/>
        <v>5400000</v>
      </c>
      <c r="L284" s="38"/>
    </row>
    <row r="285" spans="1:12" s="39" customFormat="1">
      <c r="A285" s="31">
        <v>279</v>
      </c>
      <c r="B285" s="50" t="s">
        <v>917</v>
      </c>
      <c r="C285" s="49" t="s">
        <v>383</v>
      </c>
      <c r="D285" s="50" t="s">
        <v>384</v>
      </c>
      <c r="E285" s="51"/>
      <c r="F285" s="49" t="s">
        <v>741</v>
      </c>
      <c r="G285" s="49" t="s">
        <v>918</v>
      </c>
      <c r="H285" s="49">
        <v>72</v>
      </c>
      <c r="I285" s="37"/>
      <c r="J285" s="37">
        <v>1187500</v>
      </c>
      <c r="K285" s="37">
        <f t="shared" si="4"/>
        <v>85500000</v>
      </c>
      <c r="L285" s="38"/>
    </row>
    <row r="286" spans="1:12" s="39" customFormat="1">
      <c r="A286" s="31">
        <v>280</v>
      </c>
      <c r="B286" s="50" t="s">
        <v>1116</v>
      </c>
      <c r="C286" s="49"/>
      <c r="D286" s="50" t="s">
        <v>19</v>
      </c>
      <c r="E286" s="51"/>
      <c r="F286" s="49" t="s">
        <v>1045</v>
      </c>
      <c r="G286" s="49" t="s">
        <v>941</v>
      </c>
      <c r="H286" s="49">
        <v>82</v>
      </c>
      <c r="I286" s="37"/>
      <c r="J286" s="37">
        <v>15300</v>
      </c>
      <c r="K286" s="37">
        <f t="shared" si="4"/>
        <v>1254600</v>
      </c>
      <c r="L286" s="38"/>
    </row>
    <row r="287" spans="1:12" s="39" customFormat="1">
      <c r="A287" s="31">
        <v>281</v>
      </c>
      <c r="B287" s="70" t="s">
        <v>1116</v>
      </c>
      <c r="C287" s="34"/>
      <c r="D287" s="50" t="s">
        <v>20</v>
      </c>
      <c r="E287" s="49"/>
      <c r="F287" s="82" t="s">
        <v>21</v>
      </c>
      <c r="G287" s="83" t="s">
        <v>941</v>
      </c>
      <c r="H287" s="54">
        <v>137.6</v>
      </c>
      <c r="I287" s="48"/>
      <c r="J287" s="48">
        <v>12800</v>
      </c>
      <c r="K287" s="37">
        <f t="shared" si="4"/>
        <v>1761280</v>
      </c>
      <c r="L287" s="38"/>
    </row>
    <row r="288" spans="1:12" s="39" customFormat="1">
      <c r="A288" s="31">
        <v>282</v>
      </c>
      <c r="B288" s="50" t="s">
        <v>1116</v>
      </c>
      <c r="C288" s="49"/>
      <c r="D288" s="50" t="s">
        <v>385</v>
      </c>
      <c r="E288" s="49"/>
      <c r="F288" s="82" t="s">
        <v>1044</v>
      </c>
      <c r="G288" s="83" t="s">
        <v>941</v>
      </c>
      <c r="H288" s="49">
        <v>144</v>
      </c>
      <c r="I288" s="37"/>
      <c r="J288" s="37">
        <v>10700</v>
      </c>
      <c r="K288" s="37">
        <f t="shared" si="4"/>
        <v>1540800</v>
      </c>
      <c r="L288" s="38"/>
    </row>
    <row r="289" spans="1:12" s="39" customFormat="1">
      <c r="A289" s="31">
        <v>283</v>
      </c>
      <c r="B289" s="50" t="s">
        <v>1116</v>
      </c>
      <c r="C289" s="49"/>
      <c r="D289" s="50" t="s">
        <v>69</v>
      </c>
      <c r="E289" s="49"/>
      <c r="F289" s="82" t="s">
        <v>871</v>
      </c>
      <c r="G289" s="83" t="s">
        <v>941</v>
      </c>
      <c r="H289" s="49">
        <v>15</v>
      </c>
      <c r="I289" s="37"/>
      <c r="J289" s="37">
        <v>31300</v>
      </c>
      <c r="K289" s="37">
        <f t="shared" si="4"/>
        <v>469500</v>
      </c>
      <c r="L289" s="38"/>
    </row>
    <row r="290" spans="1:12" s="39" customFormat="1">
      <c r="A290" s="31">
        <v>284</v>
      </c>
      <c r="B290" s="33" t="s">
        <v>1116</v>
      </c>
      <c r="C290" s="32"/>
      <c r="D290" s="43" t="s">
        <v>1132</v>
      </c>
      <c r="E290" s="32"/>
      <c r="F290" s="31" t="s">
        <v>1103</v>
      </c>
      <c r="G290" s="46" t="s">
        <v>941</v>
      </c>
      <c r="H290" s="32">
        <v>1.2</v>
      </c>
      <c r="I290" s="37"/>
      <c r="J290" s="37">
        <v>11500</v>
      </c>
      <c r="K290" s="37">
        <f t="shared" si="4"/>
        <v>13800</v>
      </c>
      <c r="L290" s="38"/>
    </row>
    <row r="291" spans="1:12" s="39" customFormat="1">
      <c r="A291" s="31">
        <v>285</v>
      </c>
      <c r="B291" s="70" t="s">
        <v>1116</v>
      </c>
      <c r="C291" s="34"/>
      <c r="D291" s="50" t="s">
        <v>1117</v>
      </c>
      <c r="E291" s="49"/>
      <c r="F291" s="82" t="s">
        <v>1238</v>
      </c>
      <c r="G291" s="83" t="s">
        <v>941</v>
      </c>
      <c r="H291" s="54">
        <v>5.8</v>
      </c>
      <c r="I291" s="48"/>
      <c r="J291" s="48">
        <v>7800</v>
      </c>
      <c r="K291" s="37">
        <f t="shared" si="4"/>
        <v>45240</v>
      </c>
      <c r="L291" s="38"/>
    </row>
    <row r="292" spans="1:12" s="39" customFormat="1">
      <c r="A292" s="31">
        <v>286</v>
      </c>
      <c r="B292" s="50" t="s">
        <v>1116</v>
      </c>
      <c r="C292" s="49"/>
      <c r="D292" s="50" t="s">
        <v>1148</v>
      </c>
      <c r="E292" s="49"/>
      <c r="F292" s="82" t="s">
        <v>1239</v>
      </c>
      <c r="G292" s="83" t="s">
        <v>941</v>
      </c>
      <c r="H292" s="49">
        <v>8</v>
      </c>
      <c r="I292" s="37"/>
      <c r="J292" s="37">
        <v>42800</v>
      </c>
      <c r="K292" s="37">
        <f t="shared" si="4"/>
        <v>342400</v>
      </c>
      <c r="L292" s="38"/>
    </row>
    <row r="293" spans="1:12" s="39" customFormat="1">
      <c r="A293" s="31">
        <v>287</v>
      </c>
      <c r="B293" s="50" t="s">
        <v>1116</v>
      </c>
      <c r="C293" s="49"/>
      <c r="D293" s="50" t="s">
        <v>1131</v>
      </c>
      <c r="E293" s="49"/>
      <c r="F293" s="82" t="s">
        <v>1104</v>
      </c>
      <c r="G293" s="83" t="s">
        <v>941</v>
      </c>
      <c r="H293" s="49">
        <v>51.5</v>
      </c>
      <c r="I293" s="37"/>
      <c r="J293" s="37">
        <v>22100</v>
      </c>
      <c r="K293" s="37">
        <f t="shared" si="4"/>
        <v>1138150</v>
      </c>
      <c r="L293" s="38"/>
    </row>
    <row r="294" spans="1:12" s="39" customFormat="1">
      <c r="A294" s="31">
        <v>288</v>
      </c>
      <c r="B294" s="70" t="s">
        <v>232</v>
      </c>
      <c r="C294" s="34"/>
      <c r="D294" s="50" t="s">
        <v>233</v>
      </c>
      <c r="E294" s="49"/>
      <c r="F294" s="82" t="s">
        <v>234</v>
      </c>
      <c r="G294" s="83" t="s">
        <v>235</v>
      </c>
      <c r="H294" s="54">
        <v>30</v>
      </c>
      <c r="I294" s="48"/>
      <c r="J294" s="48">
        <v>288000</v>
      </c>
      <c r="K294" s="37">
        <f t="shared" si="4"/>
        <v>8640000</v>
      </c>
      <c r="L294" s="38"/>
    </row>
    <row r="295" spans="1:12" s="39" customFormat="1">
      <c r="A295" s="31">
        <v>289</v>
      </c>
      <c r="B295" s="50" t="s">
        <v>1116</v>
      </c>
      <c r="C295" s="49"/>
      <c r="D295" s="50" t="s">
        <v>1210</v>
      </c>
      <c r="E295" s="49"/>
      <c r="F295" s="82" t="s">
        <v>1209</v>
      </c>
      <c r="G295" s="83" t="s">
        <v>941</v>
      </c>
      <c r="H295" s="49">
        <v>0</v>
      </c>
      <c r="I295" s="37"/>
      <c r="J295" s="37"/>
      <c r="K295" s="37">
        <f t="shared" si="4"/>
        <v>0</v>
      </c>
      <c r="L295" s="38"/>
    </row>
    <row r="296" spans="1:12" s="39" customFormat="1">
      <c r="A296" s="31">
        <v>290</v>
      </c>
      <c r="B296" s="50" t="s">
        <v>1116</v>
      </c>
      <c r="C296" s="49"/>
      <c r="D296" s="50" t="s">
        <v>386</v>
      </c>
      <c r="E296" s="49"/>
      <c r="F296" s="82" t="s">
        <v>808</v>
      </c>
      <c r="G296" s="83" t="s">
        <v>941</v>
      </c>
      <c r="H296" s="49">
        <v>15.6</v>
      </c>
      <c r="I296" s="37"/>
      <c r="J296" s="37">
        <v>314400</v>
      </c>
      <c r="K296" s="37">
        <f t="shared" si="4"/>
        <v>4904640</v>
      </c>
      <c r="L296" s="38"/>
    </row>
    <row r="297" spans="1:12" s="39" customFormat="1">
      <c r="A297" s="31">
        <v>291</v>
      </c>
      <c r="B297" s="45" t="s">
        <v>609</v>
      </c>
      <c r="C297" s="44"/>
      <c r="D297" s="45" t="s">
        <v>610</v>
      </c>
      <c r="E297" s="31"/>
      <c r="F297" s="42" t="s">
        <v>611</v>
      </c>
      <c r="G297" s="46" t="s">
        <v>941</v>
      </c>
      <c r="H297" s="31">
        <v>5.4</v>
      </c>
      <c r="I297" s="48"/>
      <c r="J297" s="48">
        <v>69800</v>
      </c>
      <c r="K297" s="37">
        <f t="shared" si="4"/>
        <v>376920</v>
      </c>
      <c r="L297" s="38"/>
    </row>
    <row r="298" spans="1:12" s="39" customFormat="1">
      <c r="A298" s="31">
        <v>292</v>
      </c>
      <c r="B298" s="99" t="s">
        <v>387</v>
      </c>
      <c r="C298" s="54"/>
      <c r="D298" s="55" t="s">
        <v>388</v>
      </c>
      <c r="E298" s="54"/>
      <c r="F298" s="56" t="s">
        <v>389</v>
      </c>
      <c r="G298" s="59" t="s">
        <v>137</v>
      </c>
      <c r="H298" s="54">
        <v>6</v>
      </c>
      <c r="I298" s="48"/>
      <c r="J298" s="48">
        <v>4500</v>
      </c>
      <c r="K298" s="37">
        <f t="shared" si="4"/>
        <v>27000</v>
      </c>
      <c r="L298" s="38"/>
    </row>
    <row r="299" spans="1:12" s="39" customFormat="1">
      <c r="A299" s="31">
        <v>293</v>
      </c>
      <c r="B299" s="50" t="s">
        <v>390</v>
      </c>
      <c r="C299" s="49"/>
      <c r="D299" s="50" t="s">
        <v>391</v>
      </c>
      <c r="E299" s="51"/>
      <c r="F299" s="49" t="s">
        <v>392</v>
      </c>
      <c r="G299" s="49" t="s">
        <v>137</v>
      </c>
      <c r="H299" s="49">
        <v>6</v>
      </c>
      <c r="I299" s="37"/>
      <c r="J299" s="37">
        <v>7000</v>
      </c>
      <c r="K299" s="37">
        <f t="shared" si="4"/>
        <v>42000</v>
      </c>
      <c r="L299" s="38"/>
    </row>
    <row r="300" spans="1:12" s="39" customFormat="1">
      <c r="A300" s="31">
        <v>294</v>
      </c>
      <c r="B300" s="45" t="s">
        <v>1182</v>
      </c>
      <c r="C300" s="44"/>
      <c r="D300" s="45" t="s">
        <v>705</v>
      </c>
      <c r="E300" s="31"/>
      <c r="F300" s="42" t="s">
        <v>706</v>
      </c>
      <c r="G300" s="46" t="s">
        <v>1183</v>
      </c>
      <c r="H300" s="31">
        <v>28</v>
      </c>
      <c r="I300" s="48"/>
      <c r="J300" s="48">
        <v>1400</v>
      </c>
      <c r="K300" s="37">
        <f t="shared" si="4"/>
        <v>39200</v>
      </c>
      <c r="L300" s="38"/>
    </row>
    <row r="301" spans="1:12" s="39" customFormat="1">
      <c r="A301" s="31">
        <v>295</v>
      </c>
      <c r="B301" s="86" t="s">
        <v>1182</v>
      </c>
      <c r="C301" s="85"/>
      <c r="D301" s="86" t="s">
        <v>396</v>
      </c>
      <c r="E301" s="73"/>
      <c r="F301" s="73" t="s">
        <v>1145</v>
      </c>
      <c r="G301" s="32" t="s">
        <v>1183</v>
      </c>
      <c r="H301" s="73">
        <v>0</v>
      </c>
      <c r="I301" s="48"/>
      <c r="J301" s="48">
        <v>1700</v>
      </c>
      <c r="K301" s="37">
        <f t="shared" si="4"/>
        <v>0</v>
      </c>
      <c r="L301" s="38"/>
    </row>
    <row r="302" spans="1:12" s="39" customFormat="1">
      <c r="A302" s="31">
        <v>296</v>
      </c>
      <c r="B302" s="75" t="s">
        <v>1182</v>
      </c>
      <c r="C302" s="32"/>
      <c r="D302" s="75" t="s">
        <v>964</v>
      </c>
      <c r="E302" s="32"/>
      <c r="F302" s="87" t="s">
        <v>965</v>
      </c>
      <c r="G302" s="59" t="s">
        <v>1183</v>
      </c>
      <c r="H302" s="31">
        <v>398</v>
      </c>
      <c r="I302" s="48"/>
      <c r="J302" s="48">
        <v>14300</v>
      </c>
      <c r="K302" s="37">
        <f t="shared" si="4"/>
        <v>5691400</v>
      </c>
      <c r="L302" s="38"/>
    </row>
    <row r="303" spans="1:12" s="39" customFormat="1">
      <c r="A303" s="31">
        <v>297</v>
      </c>
      <c r="B303" s="33" t="s">
        <v>830</v>
      </c>
      <c r="C303" s="32"/>
      <c r="D303" s="43" t="s">
        <v>831</v>
      </c>
      <c r="E303" s="32"/>
      <c r="F303" s="31" t="s">
        <v>832</v>
      </c>
      <c r="G303" s="32" t="s">
        <v>930</v>
      </c>
      <c r="H303" s="32">
        <v>0</v>
      </c>
      <c r="I303" s="37"/>
      <c r="J303" s="37">
        <v>9000</v>
      </c>
      <c r="K303" s="37">
        <f t="shared" si="4"/>
        <v>0</v>
      </c>
      <c r="L303" s="38"/>
    </row>
    <row r="304" spans="1:12" s="39" customFormat="1">
      <c r="A304" s="31">
        <v>298</v>
      </c>
      <c r="B304" s="75" t="s">
        <v>1182</v>
      </c>
      <c r="C304" s="31"/>
      <c r="D304" s="41" t="s">
        <v>587</v>
      </c>
      <c r="E304" s="31"/>
      <c r="F304" s="42" t="s">
        <v>588</v>
      </c>
      <c r="G304" s="46" t="s">
        <v>1183</v>
      </c>
      <c r="H304" s="31">
        <v>8</v>
      </c>
      <c r="I304" s="48"/>
      <c r="J304" s="48">
        <v>1600</v>
      </c>
      <c r="K304" s="37">
        <f t="shared" si="4"/>
        <v>12800</v>
      </c>
      <c r="L304" s="38"/>
    </row>
    <row r="305" spans="1:12" s="39" customFormat="1">
      <c r="A305" s="31">
        <v>299</v>
      </c>
      <c r="B305" s="33" t="s">
        <v>839</v>
      </c>
      <c r="C305" s="32"/>
      <c r="D305" s="43" t="s">
        <v>725</v>
      </c>
      <c r="E305" s="32" t="s">
        <v>592</v>
      </c>
      <c r="F305" s="31" t="s">
        <v>726</v>
      </c>
      <c r="G305" s="32" t="s">
        <v>840</v>
      </c>
      <c r="H305" s="32">
        <v>35</v>
      </c>
      <c r="I305" s="37"/>
      <c r="J305" s="37">
        <v>5400</v>
      </c>
      <c r="K305" s="37">
        <f t="shared" si="4"/>
        <v>189000</v>
      </c>
      <c r="L305" s="38"/>
    </row>
    <row r="306" spans="1:12" s="39" customFormat="1">
      <c r="A306" s="31">
        <v>300</v>
      </c>
      <c r="B306" s="75" t="s">
        <v>839</v>
      </c>
      <c r="C306" s="31"/>
      <c r="D306" s="41" t="s">
        <v>727</v>
      </c>
      <c r="E306" s="31" t="s">
        <v>592</v>
      </c>
      <c r="F306" s="42" t="s">
        <v>728</v>
      </c>
      <c r="G306" s="46" t="s">
        <v>840</v>
      </c>
      <c r="H306" s="31">
        <v>41</v>
      </c>
      <c r="I306" s="48"/>
      <c r="J306" s="48">
        <v>6300</v>
      </c>
      <c r="K306" s="37">
        <f t="shared" si="4"/>
        <v>258300</v>
      </c>
      <c r="L306" s="38"/>
    </row>
    <row r="307" spans="1:12" s="39" customFormat="1">
      <c r="A307" s="31">
        <v>301</v>
      </c>
      <c r="B307" s="33" t="s">
        <v>168</v>
      </c>
      <c r="C307" s="32"/>
      <c r="D307" s="43" t="s">
        <v>169</v>
      </c>
      <c r="E307" s="32"/>
      <c r="F307" s="31" t="s">
        <v>170</v>
      </c>
      <c r="G307" s="32" t="s">
        <v>171</v>
      </c>
      <c r="H307" s="32">
        <v>2</v>
      </c>
      <c r="I307" s="37"/>
      <c r="J307" s="37">
        <v>98000</v>
      </c>
      <c r="K307" s="37">
        <f t="shared" si="4"/>
        <v>196000</v>
      </c>
      <c r="L307" s="38"/>
    </row>
    <row r="308" spans="1:12" s="39" customFormat="1">
      <c r="A308" s="31">
        <v>302</v>
      </c>
      <c r="B308" s="33" t="s">
        <v>1136</v>
      </c>
      <c r="C308" s="32"/>
      <c r="D308" s="43" t="s">
        <v>397</v>
      </c>
      <c r="E308" s="32"/>
      <c r="F308" s="31" t="s">
        <v>398</v>
      </c>
      <c r="G308" s="32" t="s">
        <v>1105</v>
      </c>
      <c r="H308" s="32">
        <v>4</v>
      </c>
      <c r="I308" s="37"/>
      <c r="J308" s="37">
        <v>3093000</v>
      </c>
      <c r="K308" s="37">
        <f t="shared" si="4"/>
        <v>12372000</v>
      </c>
      <c r="L308" s="38"/>
    </row>
    <row r="309" spans="1:12" s="39" customFormat="1">
      <c r="A309" s="31">
        <v>303</v>
      </c>
      <c r="B309" s="33" t="s">
        <v>1136</v>
      </c>
      <c r="C309" s="32"/>
      <c r="D309" s="43" t="s">
        <v>399</v>
      </c>
      <c r="E309" s="32"/>
      <c r="F309" s="31" t="s">
        <v>669</v>
      </c>
      <c r="G309" s="32" t="s">
        <v>700</v>
      </c>
      <c r="H309" s="32">
        <v>4</v>
      </c>
      <c r="I309" s="37"/>
      <c r="J309" s="37">
        <v>862500</v>
      </c>
      <c r="K309" s="37">
        <f t="shared" si="4"/>
        <v>3450000</v>
      </c>
      <c r="L309" s="38"/>
    </row>
    <row r="310" spans="1:12" s="39" customFormat="1">
      <c r="A310" s="31">
        <v>304</v>
      </c>
      <c r="B310" s="33" t="s">
        <v>1136</v>
      </c>
      <c r="C310" s="32" t="s">
        <v>1137</v>
      </c>
      <c r="D310" s="43" t="s">
        <v>677</v>
      </c>
      <c r="E310" s="34"/>
      <c r="F310" s="31" t="s">
        <v>678</v>
      </c>
      <c r="G310" s="32" t="s">
        <v>700</v>
      </c>
      <c r="H310" s="32">
        <v>3</v>
      </c>
      <c r="I310" s="37"/>
      <c r="J310" s="37">
        <v>1173000</v>
      </c>
      <c r="K310" s="37">
        <f t="shared" si="4"/>
        <v>3519000</v>
      </c>
      <c r="L310" s="38"/>
    </row>
    <row r="311" spans="1:12" s="39" customFormat="1">
      <c r="A311" s="31">
        <v>305</v>
      </c>
      <c r="B311" s="45" t="s">
        <v>1136</v>
      </c>
      <c r="C311" s="44"/>
      <c r="D311" s="43" t="s">
        <v>400</v>
      </c>
      <c r="E311" s="46"/>
      <c r="F311" s="42" t="s">
        <v>829</v>
      </c>
      <c r="G311" s="46" t="s">
        <v>700</v>
      </c>
      <c r="H311" s="31">
        <v>3</v>
      </c>
      <c r="I311" s="48"/>
      <c r="J311" s="48">
        <v>3637500</v>
      </c>
      <c r="K311" s="37">
        <f t="shared" si="4"/>
        <v>10912500</v>
      </c>
      <c r="L311" s="38"/>
    </row>
    <row r="312" spans="1:12" s="39" customFormat="1">
      <c r="A312" s="31">
        <v>306</v>
      </c>
      <c r="B312" s="45" t="s">
        <v>1136</v>
      </c>
      <c r="C312" s="44"/>
      <c r="D312" s="43" t="s">
        <v>401</v>
      </c>
      <c r="E312" s="46"/>
      <c r="F312" s="42" t="s">
        <v>402</v>
      </c>
      <c r="G312" s="46" t="s">
        <v>700</v>
      </c>
      <c r="H312" s="31">
        <v>2</v>
      </c>
      <c r="I312" s="48"/>
      <c r="J312" s="48">
        <v>882500</v>
      </c>
      <c r="K312" s="37">
        <f t="shared" si="4"/>
        <v>1765000</v>
      </c>
      <c r="L312" s="38"/>
    </row>
    <row r="313" spans="1:12" s="39" customFormat="1">
      <c r="A313" s="31">
        <v>307</v>
      </c>
      <c r="B313" s="86" t="s">
        <v>403</v>
      </c>
      <c r="C313" s="85"/>
      <c r="D313" s="88" t="s">
        <v>404</v>
      </c>
      <c r="E313" s="46"/>
      <c r="F313" s="69" t="s">
        <v>405</v>
      </c>
      <c r="G313" s="46" t="s">
        <v>700</v>
      </c>
      <c r="H313" s="73">
        <v>1</v>
      </c>
      <c r="I313" s="48"/>
      <c r="J313" s="48">
        <v>4150000</v>
      </c>
      <c r="K313" s="37">
        <f t="shared" si="4"/>
        <v>4150000</v>
      </c>
      <c r="L313" s="38"/>
    </row>
    <row r="314" spans="1:12" s="39" customFormat="1">
      <c r="A314" s="31">
        <v>308</v>
      </c>
      <c r="B314" s="86" t="s">
        <v>403</v>
      </c>
      <c r="C314" s="85"/>
      <c r="D314" s="88" t="s">
        <v>406</v>
      </c>
      <c r="E314" s="46"/>
      <c r="F314" s="69" t="s">
        <v>407</v>
      </c>
      <c r="G314" s="46" t="s">
        <v>700</v>
      </c>
      <c r="H314" s="73">
        <v>2</v>
      </c>
      <c r="I314" s="48"/>
      <c r="J314" s="48">
        <v>3060000</v>
      </c>
      <c r="K314" s="37">
        <f t="shared" si="4"/>
        <v>6120000</v>
      </c>
      <c r="L314" s="38"/>
    </row>
    <row r="315" spans="1:12" s="39" customFormat="1">
      <c r="A315" s="31">
        <v>309</v>
      </c>
      <c r="B315" s="90" t="s">
        <v>1136</v>
      </c>
      <c r="C315" s="89"/>
      <c r="D315" s="90" t="s">
        <v>208</v>
      </c>
      <c r="E315" s="89"/>
      <c r="F315" s="89" t="s">
        <v>208</v>
      </c>
      <c r="G315" s="46" t="s">
        <v>700</v>
      </c>
      <c r="H315" s="31">
        <v>1</v>
      </c>
      <c r="I315" s="48"/>
      <c r="J315" s="48"/>
      <c r="K315" s="37">
        <f t="shared" si="4"/>
        <v>0</v>
      </c>
      <c r="L315" s="91"/>
    </row>
    <row r="316" spans="1:12" s="39" customFormat="1">
      <c r="A316" s="31">
        <v>310</v>
      </c>
      <c r="B316" s="90" t="s">
        <v>1136</v>
      </c>
      <c r="C316" s="89"/>
      <c r="D316" s="90" t="s">
        <v>565</v>
      </c>
      <c r="E316" s="89"/>
      <c r="F316" s="89" t="s">
        <v>565</v>
      </c>
      <c r="G316" s="46" t="s">
        <v>700</v>
      </c>
      <c r="H316" s="31">
        <v>1</v>
      </c>
      <c r="I316" s="48"/>
      <c r="J316" s="48"/>
      <c r="K316" s="37">
        <f t="shared" si="4"/>
        <v>0</v>
      </c>
      <c r="L316" s="91"/>
    </row>
    <row r="317" spans="1:12" s="39" customFormat="1">
      <c r="A317" s="31">
        <v>311</v>
      </c>
      <c r="B317" s="45" t="s">
        <v>697</v>
      </c>
      <c r="C317" s="44"/>
      <c r="D317" s="45" t="s">
        <v>408</v>
      </c>
      <c r="E317" s="31"/>
      <c r="F317" s="42" t="s">
        <v>586</v>
      </c>
      <c r="G317" s="46" t="s">
        <v>409</v>
      </c>
      <c r="H317" s="31">
        <v>24</v>
      </c>
      <c r="I317" s="48"/>
      <c r="J317" s="48">
        <v>14400</v>
      </c>
      <c r="K317" s="37">
        <f t="shared" si="4"/>
        <v>345600</v>
      </c>
      <c r="L317" s="38"/>
    </row>
    <row r="318" spans="1:12" s="39" customFormat="1">
      <c r="A318" s="31">
        <v>312</v>
      </c>
      <c r="B318" s="45" t="s">
        <v>697</v>
      </c>
      <c r="C318" s="44"/>
      <c r="D318" s="45" t="s">
        <v>698</v>
      </c>
      <c r="E318" s="31"/>
      <c r="F318" s="42" t="s">
        <v>699</v>
      </c>
      <c r="G318" s="46" t="s">
        <v>409</v>
      </c>
      <c r="H318" s="31">
        <v>48</v>
      </c>
      <c r="I318" s="48"/>
      <c r="J318" s="48">
        <v>15300</v>
      </c>
      <c r="K318" s="37">
        <f t="shared" si="4"/>
        <v>734400</v>
      </c>
      <c r="L318" s="38"/>
    </row>
    <row r="319" spans="1:12" s="39" customFormat="1">
      <c r="A319" s="31">
        <v>313</v>
      </c>
      <c r="B319" s="33" t="s">
        <v>1149</v>
      </c>
      <c r="C319" s="32"/>
      <c r="D319" s="43" t="s">
        <v>813</v>
      </c>
      <c r="E319" s="34"/>
      <c r="F319" s="31" t="s">
        <v>410</v>
      </c>
      <c r="G319" s="32" t="s">
        <v>1133</v>
      </c>
      <c r="H319" s="32">
        <v>6</v>
      </c>
      <c r="I319" s="37"/>
      <c r="J319" s="37">
        <v>30000</v>
      </c>
      <c r="K319" s="37">
        <f t="shared" si="4"/>
        <v>180000</v>
      </c>
      <c r="L319" s="38"/>
    </row>
    <row r="320" spans="1:12" s="39" customFormat="1">
      <c r="A320" s="31">
        <v>314</v>
      </c>
      <c r="B320" s="86" t="s">
        <v>1149</v>
      </c>
      <c r="C320" s="85"/>
      <c r="D320" s="88" t="s">
        <v>814</v>
      </c>
      <c r="E320" s="73"/>
      <c r="F320" s="69" t="s">
        <v>411</v>
      </c>
      <c r="G320" s="46" t="s">
        <v>1133</v>
      </c>
      <c r="H320" s="73">
        <v>6</v>
      </c>
      <c r="I320" s="48"/>
      <c r="J320" s="48">
        <v>35000</v>
      </c>
      <c r="K320" s="37">
        <f t="shared" si="4"/>
        <v>210000</v>
      </c>
      <c r="L320" s="38"/>
    </row>
    <row r="321" spans="1:12" s="39" customFormat="1">
      <c r="A321" s="31">
        <v>315</v>
      </c>
      <c r="B321" s="86" t="s">
        <v>412</v>
      </c>
      <c r="C321" s="85"/>
      <c r="D321" s="88" t="s">
        <v>413</v>
      </c>
      <c r="E321" s="73"/>
      <c r="F321" s="69" t="s">
        <v>578</v>
      </c>
      <c r="G321" s="46" t="s">
        <v>414</v>
      </c>
      <c r="H321" s="73">
        <v>8</v>
      </c>
      <c r="I321" s="48"/>
      <c r="J321" s="48">
        <v>72000</v>
      </c>
      <c r="K321" s="37">
        <f t="shared" si="4"/>
        <v>576000</v>
      </c>
      <c r="L321" s="38"/>
    </row>
    <row r="322" spans="1:12" s="39" customFormat="1">
      <c r="A322" s="31">
        <v>316</v>
      </c>
      <c r="B322" s="86" t="s">
        <v>412</v>
      </c>
      <c r="C322" s="92"/>
      <c r="D322" s="86" t="s">
        <v>415</v>
      </c>
      <c r="E322" s="92"/>
      <c r="F322" s="93" t="s">
        <v>579</v>
      </c>
      <c r="G322" s="46" t="s">
        <v>414</v>
      </c>
      <c r="H322" s="73">
        <v>8</v>
      </c>
      <c r="I322" s="48"/>
      <c r="J322" s="48">
        <v>84000</v>
      </c>
      <c r="K322" s="37">
        <f t="shared" si="4"/>
        <v>672000</v>
      </c>
      <c r="L322" s="38"/>
    </row>
    <row r="323" spans="1:12" s="39" customFormat="1">
      <c r="A323" s="31">
        <v>317</v>
      </c>
      <c r="B323" s="86" t="s">
        <v>416</v>
      </c>
      <c r="C323" s="92"/>
      <c r="D323" s="86" t="s">
        <v>417</v>
      </c>
      <c r="E323" s="92"/>
      <c r="F323" s="93" t="s">
        <v>580</v>
      </c>
      <c r="G323" s="46" t="s">
        <v>414</v>
      </c>
      <c r="H323" s="73">
        <v>2</v>
      </c>
      <c r="I323" s="48"/>
      <c r="J323" s="48">
        <v>45000</v>
      </c>
      <c r="K323" s="37">
        <f t="shared" si="4"/>
        <v>90000</v>
      </c>
      <c r="L323" s="38"/>
    </row>
    <row r="324" spans="1:12" s="39" customFormat="1">
      <c r="A324" s="31">
        <v>318</v>
      </c>
      <c r="B324" s="33" t="s">
        <v>418</v>
      </c>
      <c r="C324" s="32"/>
      <c r="D324" s="43" t="s">
        <v>419</v>
      </c>
      <c r="E324" s="32"/>
      <c r="F324" s="31" t="s">
        <v>420</v>
      </c>
      <c r="G324" s="59" t="s">
        <v>700</v>
      </c>
      <c r="H324" s="32">
        <v>4</v>
      </c>
      <c r="I324" s="37"/>
      <c r="J324" s="37">
        <v>260000</v>
      </c>
      <c r="K324" s="37">
        <f t="shared" si="4"/>
        <v>1040000</v>
      </c>
      <c r="L324" s="38"/>
    </row>
    <row r="325" spans="1:12" s="39" customFormat="1">
      <c r="A325" s="31">
        <v>319</v>
      </c>
      <c r="B325" s="33" t="s">
        <v>1119</v>
      </c>
      <c r="C325" s="32" t="s">
        <v>991</v>
      </c>
      <c r="D325" s="43" t="s">
        <v>421</v>
      </c>
      <c r="E325" s="32" t="s">
        <v>1186</v>
      </c>
      <c r="F325" s="31" t="s">
        <v>881</v>
      </c>
      <c r="G325" s="59" t="s">
        <v>1133</v>
      </c>
      <c r="H325" s="32">
        <v>138</v>
      </c>
      <c r="I325" s="37"/>
      <c r="J325" s="37">
        <v>2800</v>
      </c>
      <c r="K325" s="37">
        <f t="shared" si="4"/>
        <v>386400</v>
      </c>
      <c r="L325" s="38"/>
    </row>
    <row r="326" spans="1:12" s="39" customFormat="1">
      <c r="A326" s="31">
        <v>320</v>
      </c>
      <c r="B326" s="33" t="s">
        <v>1119</v>
      </c>
      <c r="C326" s="32" t="s">
        <v>422</v>
      </c>
      <c r="D326" s="43" t="s">
        <v>423</v>
      </c>
      <c r="E326" s="34" t="s">
        <v>1186</v>
      </c>
      <c r="F326" s="31" t="s">
        <v>1194</v>
      </c>
      <c r="G326" s="59" t="s">
        <v>1133</v>
      </c>
      <c r="H326" s="32">
        <v>85</v>
      </c>
      <c r="I326" s="37"/>
      <c r="J326" s="37">
        <v>3000</v>
      </c>
      <c r="K326" s="37">
        <f t="shared" si="4"/>
        <v>255000</v>
      </c>
      <c r="L326" s="38"/>
    </row>
    <row r="327" spans="1:12" s="39" customFormat="1">
      <c r="A327" s="31">
        <v>321</v>
      </c>
      <c r="B327" s="33" t="s">
        <v>1119</v>
      </c>
      <c r="C327" s="32" t="s">
        <v>424</v>
      </c>
      <c r="D327" s="43" t="s">
        <v>425</v>
      </c>
      <c r="E327" s="32" t="s">
        <v>1186</v>
      </c>
      <c r="F327" s="31" t="s">
        <v>1233</v>
      </c>
      <c r="G327" s="46" t="s">
        <v>1133</v>
      </c>
      <c r="H327" s="32">
        <v>42</v>
      </c>
      <c r="I327" s="37"/>
      <c r="J327" s="37">
        <v>2800</v>
      </c>
      <c r="K327" s="37">
        <f t="shared" si="4"/>
        <v>117600</v>
      </c>
      <c r="L327" s="38"/>
    </row>
    <row r="328" spans="1:12" s="39" customFormat="1">
      <c r="A328" s="31">
        <v>322</v>
      </c>
      <c r="B328" s="45" t="s">
        <v>1119</v>
      </c>
      <c r="C328" s="44" t="s">
        <v>426</v>
      </c>
      <c r="D328" s="45" t="s">
        <v>427</v>
      </c>
      <c r="E328" s="31" t="s">
        <v>1186</v>
      </c>
      <c r="F328" s="42" t="s">
        <v>1224</v>
      </c>
      <c r="G328" s="46" t="s">
        <v>1133</v>
      </c>
      <c r="H328" s="31">
        <v>38</v>
      </c>
      <c r="I328" s="48"/>
      <c r="J328" s="48">
        <v>4500</v>
      </c>
      <c r="K328" s="37">
        <f t="shared" ref="K328:K374" si="5">H328*J328</f>
        <v>171000</v>
      </c>
      <c r="L328" s="38"/>
    </row>
    <row r="329" spans="1:12" s="39" customFormat="1">
      <c r="A329" s="31">
        <v>323</v>
      </c>
      <c r="B329" s="75" t="s">
        <v>1119</v>
      </c>
      <c r="C329" s="32" t="s">
        <v>428</v>
      </c>
      <c r="D329" s="75" t="s">
        <v>429</v>
      </c>
      <c r="E329" s="32" t="s">
        <v>1186</v>
      </c>
      <c r="F329" s="87" t="s">
        <v>1226</v>
      </c>
      <c r="G329" s="59" t="s">
        <v>1133</v>
      </c>
      <c r="H329" s="31">
        <v>6</v>
      </c>
      <c r="I329" s="48"/>
      <c r="J329" s="48">
        <v>8000</v>
      </c>
      <c r="K329" s="37">
        <f t="shared" si="5"/>
        <v>48000</v>
      </c>
      <c r="L329" s="38"/>
    </row>
    <row r="330" spans="1:12" s="39" customFormat="1">
      <c r="A330" s="31">
        <v>324</v>
      </c>
      <c r="B330" s="33" t="s">
        <v>1119</v>
      </c>
      <c r="C330" s="32" t="s">
        <v>430</v>
      </c>
      <c r="D330" s="33" t="s">
        <v>431</v>
      </c>
      <c r="E330" s="32" t="s">
        <v>1186</v>
      </c>
      <c r="F330" s="31" t="s">
        <v>1227</v>
      </c>
      <c r="G330" s="46" t="s">
        <v>1133</v>
      </c>
      <c r="H330" s="32">
        <v>9</v>
      </c>
      <c r="I330" s="37"/>
      <c r="J330" s="37">
        <v>5000</v>
      </c>
      <c r="K330" s="37">
        <f t="shared" si="5"/>
        <v>45000</v>
      </c>
      <c r="L330" s="38"/>
    </row>
    <row r="331" spans="1:12" s="39" customFormat="1">
      <c r="A331" s="31">
        <v>325</v>
      </c>
      <c r="B331" s="33" t="s">
        <v>1119</v>
      </c>
      <c r="C331" s="32" t="s">
        <v>1159</v>
      </c>
      <c r="D331" s="43" t="s">
        <v>432</v>
      </c>
      <c r="E331" s="34" t="s">
        <v>1186</v>
      </c>
      <c r="F331" s="31" t="s">
        <v>1195</v>
      </c>
      <c r="G331" s="46" t="s">
        <v>1133</v>
      </c>
      <c r="H331" s="32">
        <v>0</v>
      </c>
      <c r="I331" s="37"/>
      <c r="J331" s="37">
        <v>6000</v>
      </c>
      <c r="K331" s="37">
        <f t="shared" si="5"/>
        <v>0</v>
      </c>
      <c r="L331" s="38"/>
    </row>
    <row r="332" spans="1:12" s="39" customFormat="1">
      <c r="A332" s="31">
        <v>326</v>
      </c>
      <c r="B332" s="45" t="s">
        <v>1119</v>
      </c>
      <c r="C332" s="44" t="s">
        <v>1228</v>
      </c>
      <c r="D332" s="45" t="s">
        <v>433</v>
      </c>
      <c r="E332" s="31" t="s">
        <v>1186</v>
      </c>
      <c r="F332" s="42" t="s">
        <v>1229</v>
      </c>
      <c r="G332" s="46" t="s">
        <v>1133</v>
      </c>
      <c r="H332" s="31">
        <v>40</v>
      </c>
      <c r="I332" s="48"/>
      <c r="J332" s="48">
        <v>5000</v>
      </c>
      <c r="K332" s="37">
        <f t="shared" si="5"/>
        <v>200000</v>
      </c>
      <c r="L332" s="38"/>
    </row>
    <row r="333" spans="1:12" s="39" customFormat="1">
      <c r="A333" s="31">
        <v>327</v>
      </c>
      <c r="B333" s="45" t="s">
        <v>1119</v>
      </c>
      <c r="C333" s="44" t="s">
        <v>1158</v>
      </c>
      <c r="D333" s="45" t="s">
        <v>434</v>
      </c>
      <c r="E333" s="31" t="s">
        <v>1186</v>
      </c>
      <c r="F333" s="42" t="s">
        <v>435</v>
      </c>
      <c r="G333" s="46" t="s">
        <v>1133</v>
      </c>
      <c r="H333" s="31">
        <v>0</v>
      </c>
      <c r="I333" s="48"/>
      <c r="J333" s="48">
        <v>6000</v>
      </c>
      <c r="K333" s="37">
        <f t="shared" si="5"/>
        <v>0</v>
      </c>
      <c r="L333" s="38"/>
    </row>
    <row r="334" spans="1:12" s="39" customFormat="1">
      <c r="A334" s="31">
        <v>328</v>
      </c>
      <c r="B334" s="75" t="s">
        <v>1119</v>
      </c>
      <c r="C334" s="42" t="s">
        <v>436</v>
      </c>
      <c r="D334" s="75" t="s">
        <v>437</v>
      </c>
      <c r="E334" s="31" t="s">
        <v>1186</v>
      </c>
      <c r="F334" s="31" t="s">
        <v>438</v>
      </c>
      <c r="G334" s="46" t="s">
        <v>1133</v>
      </c>
      <c r="H334" s="31">
        <v>4</v>
      </c>
      <c r="I334" s="48"/>
      <c r="J334" s="48">
        <v>12000</v>
      </c>
      <c r="K334" s="37">
        <f t="shared" si="5"/>
        <v>48000</v>
      </c>
      <c r="L334" s="38"/>
    </row>
    <row r="335" spans="1:12" s="39" customFormat="1">
      <c r="A335" s="31">
        <v>329</v>
      </c>
      <c r="B335" s="75" t="s">
        <v>1119</v>
      </c>
      <c r="C335" s="42" t="s">
        <v>439</v>
      </c>
      <c r="D335" s="75" t="s">
        <v>440</v>
      </c>
      <c r="E335" s="31" t="s">
        <v>1186</v>
      </c>
      <c r="F335" s="31" t="s">
        <v>441</v>
      </c>
      <c r="G335" s="46" t="s">
        <v>1133</v>
      </c>
      <c r="H335" s="31">
        <v>4</v>
      </c>
      <c r="I335" s="48"/>
      <c r="J335" s="48">
        <v>12000</v>
      </c>
      <c r="K335" s="37">
        <f t="shared" si="5"/>
        <v>48000</v>
      </c>
      <c r="L335" s="38"/>
    </row>
    <row r="336" spans="1:12" s="39" customFormat="1">
      <c r="A336" s="31">
        <v>330</v>
      </c>
      <c r="B336" s="75" t="s">
        <v>1119</v>
      </c>
      <c r="C336" s="42" t="s">
        <v>442</v>
      </c>
      <c r="D336" s="75" t="s">
        <v>443</v>
      </c>
      <c r="E336" s="31" t="s">
        <v>1186</v>
      </c>
      <c r="F336" s="31" t="s">
        <v>444</v>
      </c>
      <c r="G336" s="46" t="s">
        <v>1133</v>
      </c>
      <c r="H336" s="31">
        <v>4</v>
      </c>
      <c r="I336" s="48"/>
      <c r="J336" s="48">
        <v>10000</v>
      </c>
      <c r="K336" s="37">
        <f t="shared" si="5"/>
        <v>40000</v>
      </c>
      <c r="L336" s="38"/>
    </row>
    <row r="337" spans="1:12" s="39" customFormat="1">
      <c r="A337" s="31">
        <v>331</v>
      </c>
      <c r="B337" s="75" t="s">
        <v>1119</v>
      </c>
      <c r="C337" s="42" t="s">
        <v>445</v>
      </c>
      <c r="D337" s="75" t="s">
        <v>446</v>
      </c>
      <c r="E337" s="31" t="s">
        <v>1186</v>
      </c>
      <c r="F337" s="31" t="s">
        <v>447</v>
      </c>
      <c r="G337" s="46" t="s">
        <v>1133</v>
      </c>
      <c r="H337" s="31">
        <v>4</v>
      </c>
      <c r="I337" s="48"/>
      <c r="J337" s="48">
        <v>10000</v>
      </c>
      <c r="K337" s="37">
        <f t="shared" si="5"/>
        <v>40000</v>
      </c>
      <c r="L337" s="38"/>
    </row>
    <row r="338" spans="1:12" s="39" customFormat="1">
      <c r="A338" s="31">
        <v>332</v>
      </c>
      <c r="B338" s="94" t="s">
        <v>1119</v>
      </c>
      <c r="C338" s="69" t="s">
        <v>448</v>
      </c>
      <c r="D338" s="94" t="s">
        <v>449</v>
      </c>
      <c r="E338" s="73" t="s">
        <v>1186</v>
      </c>
      <c r="F338" s="73" t="s">
        <v>450</v>
      </c>
      <c r="G338" s="46" t="s">
        <v>1133</v>
      </c>
      <c r="H338" s="73">
        <v>4</v>
      </c>
      <c r="I338" s="48"/>
      <c r="J338" s="48">
        <v>7000</v>
      </c>
      <c r="K338" s="37">
        <f t="shared" si="5"/>
        <v>28000</v>
      </c>
      <c r="L338" s="38"/>
    </row>
    <row r="339" spans="1:12" s="39" customFormat="1">
      <c r="A339" s="31">
        <v>333</v>
      </c>
      <c r="B339" s="94" t="s">
        <v>1119</v>
      </c>
      <c r="C339" s="69" t="s">
        <v>451</v>
      </c>
      <c r="D339" s="94" t="s">
        <v>452</v>
      </c>
      <c r="E339" s="73" t="s">
        <v>1186</v>
      </c>
      <c r="F339" s="73" t="s">
        <v>453</v>
      </c>
      <c r="G339" s="46" t="s">
        <v>1133</v>
      </c>
      <c r="H339" s="73">
        <v>4</v>
      </c>
      <c r="I339" s="48"/>
      <c r="J339" s="48">
        <v>45000</v>
      </c>
      <c r="K339" s="37">
        <f t="shared" si="5"/>
        <v>180000</v>
      </c>
      <c r="L339" s="38"/>
    </row>
    <row r="340" spans="1:12" s="39" customFormat="1">
      <c r="A340" s="31">
        <v>334</v>
      </c>
      <c r="B340" s="75" t="s">
        <v>1119</v>
      </c>
      <c r="C340" s="31" t="s">
        <v>454</v>
      </c>
      <c r="D340" s="75" t="s">
        <v>455</v>
      </c>
      <c r="E340" s="31" t="s">
        <v>1186</v>
      </c>
      <c r="F340" s="31" t="s">
        <v>456</v>
      </c>
      <c r="G340" s="31" t="s">
        <v>1133</v>
      </c>
      <c r="H340" s="54">
        <v>9</v>
      </c>
      <c r="I340" s="48"/>
      <c r="J340" s="48">
        <v>18000</v>
      </c>
      <c r="K340" s="37">
        <f t="shared" si="5"/>
        <v>162000</v>
      </c>
      <c r="L340" s="38"/>
    </row>
    <row r="341" spans="1:12" s="39" customFormat="1">
      <c r="A341" s="31">
        <v>335</v>
      </c>
      <c r="B341" s="50" t="s">
        <v>1119</v>
      </c>
      <c r="C341" s="49" t="s">
        <v>457</v>
      </c>
      <c r="D341" s="81" t="s">
        <v>458</v>
      </c>
      <c r="E341" s="49" t="s">
        <v>1186</v>
      </c>
      <c r="F341" s="49" t="s">
        <v>459</v>
      </c>
      <c r="G341" s="83" t="s">
        <v>1133</v>
      </c>
      <c r="H341" s="49">
        <v>0</v>
      </c>
      <c r="I341" s="37"/>
      <c r="J341" s="37">
        <v>25000</v>
      </c>
      <c r="K341" s="37">
        <f t="shared" si="5"/>
        <v>0</v>
      </c>
      <c r="L341" s="38"/>
    </row>
    <row r="342" spans="1:12" s="39" customFormat="1">
      <c r="A342" s="31">
        <v>336</v>
      </c>
      <c r="B342" s="50" t="s">
        <v>1119</v>
      </c>
      <c r="C342" s="49"/>
      <c r="D342" s="81" t="s">
        <v>460</v>
      </c>
      <c r="E342" s="49" t="s">
        <v>1186</v>
      </c>
      <c r="F342" s="49" t="s">
        <v>461</v>
      </c>
      <c r="G342" s="83" t="s">
        <v>1133</v>
      </c>
      <c r="H342" s="49">
        <v>6</v>
      </c>
      <c r="I342" s="37"/>
      <c r="J342" s="37">
        <v>18000</v>
      </c>
      <c r="K342" s="37">
        <f t="shared" si="5"/>
        <v>108000</v>
      </c>
      <c r="L342" s="38"/>
    </row>
    <row r="343" spans="1:12" s="39" customFormat="1">
      <c r="A343" s="31">
        <v>337</v>
      </c>
      <c r="B343" s="45" t="s">
        <v>1119</v>
      </c>
      <c r="C343" s="44"/>
      <c r="D343" s="45" t="s">
        <v>462</v>
      </c>
      <c r="E343" s="31" t="s">
        <v>1186</v>
      </c>
      <c r="F343" s="42" t="s">
        <v>463</v>
      </c>
      <c r="G343" s="46" t="s">
        <v>1133</v>
      </c>
      <c r="H343" s="31">
        <v>4</v>
      </c>
      <c r="I343" s="48"/>
      <c r="J343" s="48">
        <v>8000</v>
      </c>
      <c r="K343" s="37">
        <f t="shared" si="5"/>
        <v>32000</v>
      </c>
      <c r="L343" s="38"/>
    </row>
    <row r="344" spans="1:12" s="39" customFormat="1">
      <c r="A344" s="31">
        <v>338</v>
      </c>
      <c r="B344" s="75" t="s">
        <v>1119</v>
      </c>
      <c r="C344" s="42"/>
      <c r="D344" s="75" t="s">
        <v>464</v>
      </c>
      <c r="E344" s="31" t="s">
        <v>1186</v>
      </c>
      <c r="F344" s="31" t="s">
        <v>835</v>
      </c>
      <c r="G344" s="46" t="s">
        <v>1133</v>
      </c>
      <c r="H344" s="31">
        <v>4</v>
      </c>
      <c r="I344" s="48"/>
      <c r="J344" s="48">
        <v>8000</v>
      </c>
      <c r="K344" s="37">
        <f t="shared" si="5"/>
        <v>32000</v>
      </c>
      <c r="L344" s="38"/>
    </row>
    <row r="345" spans="1:12" s="39" customFormat="1">
      <c r="A345" s="31">
        <v>339</v>
      </c>
      <c r="B345" s="75" t="s">
        <v>1119</v>
      </c>
      <c r="C345" s="42"/>
      <c r="D345" s="75" t="s">
        <v>465</v>
      </c>
      <c r="E345" s="31" t="s">
        <v>1186</v>
      </c>
      <c r="F345" s="31" t="s">
        <v>836</v>
      </c>
      <c r="G345" s="46" t="s">
        <v>1133</v>
      </c>
      <c r="H345" s="31">
        <v>4</v>
      </c>
      <c r="I345" s="48"/>
      <c r="J345" s="48">
        <v>12000</v>
      </c>
      <c r="K345" s="37">
        <f t="shared" si="5"/>
        <v>48000</v>
      </c>
      <c r="L345" s="38"/>
    </row>
    <row r="346" spans="1:12" s="39" customFormat="1">
      <c r="A346" s="31">
        <v>340</v>
      </c>
      <c r="B346" s="75" t="s">
        <v>1119</v>
      </c>
      <c r="C346" s="42"/>
      <c r="D346" s="75" t="s">
        <v>466</v>
      </c>
      <c r="E346" s="31" t="s">
        <v>1186</v>
      </c>
      <c r="F346" s="31" t="s">
        <v>837</v>
      </c>
      <c r="G346" s="46" t="s">
        <v>1133</v>
      </c>
      <c r="H346" s="31">
        <v>4</v>
      </c>
      <c r="I346" s="48"/>
      <c r="J346" s="48">
        <v>12000</v>
      </c>
      <c r="K346" s="37">
        <f t="shared" si="5"/>
        <v>48000</v>
      </c>
      <c r="L346" s="38"/>
    </row>
    <row r="347" spans="1:12" s="39" customFormat="1">
      <c r="A347" s="31">
        <v>341</v>
      </c>
      <c r="B347" s="75" t="s">
        <v>692</v>
      </c>
      <c r="C347" s="42"/>
      <c r="D347" s="75" t="s">
        <v>467</v>
      </c>
      <c r="E347" s="31"/>
      <c r="F347" s="31" t="s">
        <v>693</v>
      </c>
      <c r="G347" s="46" t="s">
        <v>930</v>
      </c>
      <c r="H347" s="31">
        <v>7</v>
      </c>
      <c r="I347" s="48"/>
      <c r="J347" s="48">
        <v>3000</v>
      </c>
      <c r="K347" s="37">
        <f t="shared" si="5"/>
        <v>21000</v>
      </c>
      <c r="L347" s="38"/>
    </row>
    <row r="348" spans="1:12" s="39" customFormat="1">
      <c r="A348" s="31">
        <v>342</v>
      </c>
      <c r="B348" s="94" t="s">
        <v>692</v>
      </c>
      <c r="C348" s="69"/>
      <c r="D348" s="94" t="s">
        <v>425</v>
      </c>
      <c r="E348" s="73"/>
      <c r="F348" s="73" t="s">
        <v>694</v>
      </c>
      <c r="G348" s="46" t="s">
        <v>930</v>
      </c>
      <c r="H348" s="73">
        <v>19</v>
      </c>
      <c r="I348" s="48"/>
      <c r="J348" s="48">
        <v>3000</v>
      </c>
      <c r="K348" s="37">
        <f t="shared" si="5"/>
        <v>57000</v>
      </c>
      <c r="L348" s="38"/>
    </row>
    <row r="349" spans="1:12" s="39" customFormat="1">
      <c r="A349" s="31">
        <v>343</v>
      </c>
      <c r="B349" s="94" t="s">
        <v>692</v>
      </c>
      <c r="C349" s="69"/>
      <c r="D349" s="94" t="s">
        <v>695</v>
      </c>
      <c r="E349" s="73"/>
      <c r="F349" s="73" t="s">
        <v>696</v>
      </c>
      <c r="G349" s="46" t="s">
        <v>930</v>
      </c>
      <c r="H349" s="73">
        <v>8</v>
      </c>
      <c r="I349" s="48"/>
      <c r="J349" s="48">
        <v>40000</v>
      </c>
      <c r="K349" s="37">
        <f t="shared" si="5"/>
        <v>320000</v>
      </c>
      <c r="L349" s="38"/>
    </row>
    <row r="350" spans="1:12" s="39" customFormat="1">
      <c r="A350" s="31">
        <v>344</v>
      </c>
      <c r="B350" s="33" t="s">
        <v>692</v>
      </c>
      <c r="C350" s="87"/>
      <c r="D350" s="75" t="s">
        <v>468</v>
      </c>
      <c r="E350" s="95"/>
      <c r="F350" s="31" t="s">
        <v>585</v>
      </c>
      <c r="G350" s="31" t="s">
        <v>930</v>
      </c>
      <c r="H350" s="54">
        <v>4</v>
      </c>
      <c r="I350" s="48"/>
      <c r="J350" s="48">
        <v>40000</v>
      </c>
      <c r="K350" s="37">
        <f t="shared" si="5"/>
        <v>160000</v>
      </c>
      <c r="L350" s="38"/>
    </row>
    <row r="351" spans="1:12" s="39" customFormat="1">
      <c r="A351" s="31">
        <v>345</v>
      </c>
      <c r="B351" s="50" t="s">
        <v>692</v>
      </c>
      <c r="C351" s="49"/>
      <c r="D351" s="81" t="s">
        <v>138</v>
      </c>
      <c r="E351" s="49"/>
      <c r="F351" s="83" t="s">
        <v>133</v>
      </c>
      <c r="G351" s="83" t="s">
        <v>930</v>
      </c>
      <c r="H351" s="49">
        <v>0</v>
      </c>
      <c r="I351" s="37"/>
      <c r="J351" s="37">
        <v>8000</v>
      </c>
      <c r="K351" s="37">
        <f t="shared" si="5"/>
        <v>0</v>
      </c>
      <c r="L351" s="38"/>
    </row>
    <row r="352" spans="1:12" s="39" customFormat="1">
      <c r="A352" s="31">
        <v>346</v>
      </c>
      <c r="B352" s="50" t="s">
        <v>1119</v>
      </c>
      <c r="C352" s="49" t="s">
        <v>704</v>
      </c>
      <c r="D352" s="81" t="s">
        <v>825</v>
      </c>
      <c r="E352" s="49" t="s">
        <v>1186</v>
      </c>
      <c r="F352" s="83" t="s">
        <v>826</v>
      </c>
      <c r="G352" s="83" t="s">
        <v>930</v>
      </c>
      <c r="H352" s="49">
        <v>21</v>
      </c>
      <c r="I352" s="37"/>
      <c r="J352" s="37">
        <v>18000</v>
      </c>
      <c r="K352" s="37">
        <f t="shared" si="5"/>
        <v>378000</v>
      </c>
      <c r="L352" s="38"/>
    </row>
    <row r="353" spans="1:12" s="39" customFormat="1">
      <c r="A353" s="31">
        <v>347</v>
      </c>
      <c r="B353" s="33" t="s">
        <v>692</v>
      </c>
      <c r="C353" s="34"/>
      <c r="D353" s="70" t="s">
        <v>469</v>
      </c>
      <c r="E353" s="87"/>
      <c r="F353" s="32" t="s">
        <v>583</v>
      </c>
      <c r="G353" s="46" t="s">
        <v>930</v>
      </c>
      <c r="H353" s="73">
        <v>2</v>
      </c>
      <c r="I353" s="48"/>
      <c r="J353" s="48">
        <v>40000</v>
      </c>
      <c r="K353" s="37">
        <f t="shared" si="5"/>
        <v>80000</v>
      </c>
      <c r="L353" s="38"/>
    </row>
    <row r="354" spans="1:12" s="39" customFormat="1">
      <c r="A354" s="31">
        <v>348</v>
      </c>
      <c r="B354" s="33" t="s">
        <v>692</v>
      </c>
      <c r="C354" s="34"/>
      <c r="D354" s="70" t="s">
        <v>470</v>
      </c>
      <c r="E354" s="87"/>
      <c r="F354" s="32" t="s">
        <v>584</v>
      </c>
      <c r="G354" s="46" t="s">
        <v>930</v>
      </c>
      <c r="H354" s="73">
        <v>2</v>
      </c>
      <c r="I354" s="48"/>
      <c r="J354" s="48">
        <v>50000</v>
      </c>
      <c r="K354" s="37">
        <f t="shared" si="5"/>
        <v>100000</v>
      </c>
      <c r="L354" s="38"/>
    </row>
    <row r="355" spans="1:12" s="39" customFormat="1">
      <c r="A355" s="31">
        <v>349</v>
      </c>
      <c r="B355" s="33" t="s">
        <v>692</v>
      </c>
      <c r="C355" s="34"/>
      <c r="D355" s="70" t="s">
        <v>471</v>
      </c>
      <c r="E355" s="87"/>
      <c r="F355" s="31" t="s">
        <v>472</v>
      </c>
      <c r="G355" s="59" t="s">
        <v>930</v>
      </c>
      <c r="H355" s="73">
        <v>1</v>
      </c>
      <c r="I355" s="48"/>
      <c r="J355" s="48">
        <v>40000</v>
      </c>
      <c r="K355" s="37">
        <f t="shared" si="5"/>
        <v>40000</v>
      </c>
      <c r="L355" s="38"/>
    </row>
    <row r="356" spans="1:12" s="39" customFormat="1">
      <c r="A356" s="31">
        <v>350</v>
      </c>
      <c r="B356" s="33" t="s">
        <v>692</v>
      </c>
      <c r="C356" s="34"/>
      <c r="D356" s="70" t="s">
        <v>473</v>
      </c>
      <c r="E356" s="87"/>
      <c r="F356" s="31" t="s">
        <v>474</v>
      </c>
      <c r="G356" s="59" t="s">
        <v>930</v>
      </c>
      <c r="H356" s="73">
        <v>0</v>
      </c>
      <c r="I356" s="48"/>
      <c r="J356" s="48">
        <v>50000</v>
      </c>
      <c r="K356" s="37">
        <f t="shared" si="5"/>
        <v>0</v>
      </c>
      <c r="L356" s="38"/>
    </row>
    <row r="357" spans="1:12" s="39" customFormat="1">
      <c r="A357" s="31">
        <v>351</v>
      </c>
      <c r="B357" s="75" t="s">
        <v>692</v>
      </c>
      <c r="C357" s="44"/>
      <c r="D357" s="45" t="s">
        <v>475</v>
      </c>
      <c r="E357" s="42"/>
      <c r="F357" s="44" t="s">
        <v>476</v>
      </c>
      <c r="G357" s="46" t="s">
        <v>930</v>
      </c>
      <c r="H357" s="31">
        <v>3</v>
      </c>
      <c r="I357" s="48"/>
      <c r="J357" s="48">
        <v>60000</v>
      </c>
      <c r="K357" s="37">
        <f t="shared" si="5"/>
        <v>180000</v>
      </c>
      <c r="L357" s="38"/>
    </row>
    <row r="358" spans="1:12" s="39" customFormat="1">
      <c r="A358" s="31">
        <v>352</v>
      </c>
      <c r="B358" s="75" t="s">
        <v>1119</v>
      </c>
      <c r="C358" s="44"/>
      <c r="D358" s="45" t="s">
        <v>144</v>
      </c>
      <c r="E358" s="42" t="s">
        <v>1186</v>
      </c>
      <c r="F358" s="44" t="s">
        <v>827</v>
      </c>
      <c r="G358" s="46" t="s">
        <v>1133</v>
      </c>
      <c r="H358" s="31">
        <v>9</v>
      </c>
      <c r="I358" s="48"/>
      <c r="J358" s="48">
        <v>7000</v>
      </c>
      <c r="K358" s="37">
        <f t="shared" si="5"/>
        <v>63000</v>
      </c>
      <c r="L358" s="38"/>
    </row>
    <row r="359" spans="1:12" s="39" customFormat="1">
      <c r="A359" s="31">
        <v>353</v>
      </c>
      <c r="B359" s="33" t="s">
        <v>692</v>
      </c>
      <c r="C359" s="34"/>
      <c r="D359" s="70" t="s">
        <v>477</v>
      </c>
      <c r="E359" s="87"/>
      <c r="F359" s="32" t="s">
        <v>478</v>
      </c>
      <c r="G359" s="46" t="s">
        <v>930</v>
      </c>
      <c r="H359" s="73">
        <v>2</v>
      </c>
      <c r="I359" s="48"/>
      <c r="J359" s="48">
        <v>3000</v>
      </c>
      <c r="K359" s="37">
        <f t="shared" si="5"/>
        <v>6000</v>
      </c>
      <c r="L359" s="38"/>
    </row>
    <row r="360" spans="1:12" s="39" customFormat="1">
      <c r="A360" s="31">
        <v>354</v>
      </c>
      <c r="B360" s="76" t="s">
        <v>515</v>
      </c>
      <c r="C360" s="96"/>
      <c r="D360" s="76" t="s">
        <v>516</v>
      </c>
      <c r="E360" s="46"/>
      <c r="F360" s="42" t="s">
        <v>200</v>
      </c>
      <c r="G360" s="46" t="s">
        <v>930</v>
      </c>
      <c r="H360" s="31">
        <v>0</v>
      </c>
      <c r="I360" s="48"/>
      <c r="J360" s="48">
        <v>10000</v>
      </c>
      <c r="K360" s="37">
        <f t="shared" si="5"/>
        <v>0</v>
      </c>
      <c r="L360" s="38"/>
    </row>
    <row r="361" spans="1:12" s="39" customFormat="1">
      <c r="A361" s="31">
        <v>355</v>
      </c>
      <c r="B361" s="33" t="s">
        <v>515</v>
      </c>
      <c r="C361" s="32"/>
      <c r="D361" s="43" t="s">
        <v>3</v>
      </c>
      <c r="E361" s="32"/>
      <c r="F361" s="31" t="s">
        <v>201</v>
      </c>
      <c r="G361" s="32" t="s">
        <v>930</v>
      </c>
      <c r="H361" s="32">
        <v>0</v>
      </c>
      <c r="I361" s="37"/>
      <c r="J361" s="37">
        <v>15000</v>
      </c>
      <c r="K361" s="37">
        <f t="shared" si="5"/>
        <v>0</v>
      </c>
      <c r="L361" s="38"/>
    </row>
    <row r="362" spans="1:12" s="39" customFormat="1">
      <c r="A362" s="31">
        <v>356</v>
      </c>
      <c r="B362" s="45" t="s">
        <v>1141</v>
      </c>
      <c r="C362" s="34" t="s">
        <v>1142</v>
      </c>
      <c r="D362" s="43" t="s">
        <v>1143</v>
      </c>
      <c r="E362" s="42"/>
      <c r="F362" s="31" t="s">
        <v>517</v>
      </c>
      <c r="G362" s="46" t="s">
        <v>1105</v>
      </c>
      <c r="H362" s="31">
        <v>143</v>
      </c>
      <c r="I362" s="48"/>
      <c r="J362" s="48">
        <v>1700</v>
      </c>
      <c r="K362" s="37">
        <f t="shared" si="5"/>
        <v>243100</v>
      </c>
      <c r="L362" s="38"/>
    </row>
    <row r="363" spans="1:12" s="39" customFormat="1">
      <c r="A363" s="31">
        <v>357</v>
      </c>
      <c r="B363" s="33" t="s">
        <v>1141</v>
      </c>
      <c r="C363" s="32" t="s">
        <v>1122</v>
      </c>
      <c r="D363" s="43" t="s">
        <v>931</v>
      </c>
      <c r="E363" s="32"/>
      <c r="F363" s="31" t="s">
        <v>883</v>
      </c>
      <c r="G363" s="46" t="s">
        <v>1105</v>
      </c>
      <c r="H363" s="32">
        <v>21</v>
      </c>
      <c r="I363" s="37"/>
      <c r="J363" s="37">
        <v>1700</v>
      </c>
      <c r="K363" s="37">
        <f t="shared" si="5"/>
        <v>35700</v>
      </c>
      <c r="L363" s="38"/>
    </row>
    <row r="364" spans="1:12" s="39" customFormat="1">
      <c r="A364" s="31">
        <v>358</v>
      </c>
      <c r="B364" s="33" t="s">
        <v>1141</v>
      </c>
      <c r="C364" s="32"/>
      <c r="D364" s="43" t="s">
        <v>1123</v>
      </c>
      <c r="E364" s="32"/>
      <c r="F364" s="31" t="s">
        <v>884</v>
      </c>
      <c r="G364" s="46" t="s">
        <v>1105</v>
      </c>
      <c r="H364" s="32">
        <v>101</v>
      </c>
      <c r="I364" s="37"/>
      <c r="J364" s="37">
        <v>1700</v>
      </c>
      <c r="K364" s="37">
        <f t="shared" si="5"/>
        <v>171700</v>
      </c>
      <c r="L364" s="38"/>
    </row>
    <row r="365" spans="1:12" s="39" customFormat="1">
      <c r="A365" s="31">
        <v>359</v>
      </c>
      <c r="B365" s="99" t="s">
        <v>1141</v>
      </c>
      <c r="C365" s="54"/>
      <c r="D365" s="75" t="s">
        <v>518</v>
      </c>
      <c r="E365" s="44"/>
      <c r="F365" s="31" t="s">
        <v>885</v>
      </c>
      <c r="G365" s="31" t="s">
        <v>1105</v>
      </c>
      <c r="H365" s="54">
        <v>25</v>
      </c>
      <c r="I365" s="48"/>
      <c r="J365" s="48">
        <v>1700</v>
      </c>
      <c r="K365" s="37">
        <f t="shared" si="5"/>
        <v>42500</v>
      </c>
      <c r="L365" s="38"/>
    </row>
    <row r="366" spans="1:12" s="39" customFormat="1">
      <c r="A366" s="31">
        <v>360</v>
      </c>
      <c r="B366" s="86" t="s">
        <v>722</v>
      </c>
      <c r="C366" s="92"/>
      <c r="D366" s="86" t="s">
        <v>723</v>
      </c>
      <c r="E366" s="92"/>
      <c r="F366" s="93" t="s">
        <v>724</v>
      </c>
      <c r="G366" s="46" t="s">
        <v>1133</v>
      </c>
      <c r="H366" s="73">
        <v>4</v>
      </c>
      <c r="I366" s="48"/>
      <c r="J366" s="48">
        <v>30000</v>
      </c>
      <c r="K366" s="37">
        <f t="shared" si="5"/>
        <v>120000</v>
      </c>
      <c r="L366" s="38"/>
    </row>
    <row r="367" spans="1:12" s="39" customFormat="1">
      <c r="A367" s="31">
        <v>361</v>
      </c>
      <c r="B367" s="33" t="s">
        <v>533</v>
      </c>
      <c r="C367" s="32"/>
      <c r="D367" s="43" t="s">
        <v>534</v>
      </c>
      <c r="E367" s="32"/>
      <c r="F367" s="31" t="s">
        <v>582</v>
      </c>
      <c r="G367" s="46" t="s">
        <v>930</v>
      </c>
      <c r="H367" s="32">
        <v>0</v>
      </c>
      <c r="I367" s="37"/>
      <c r="J367" s="37">
        <v>28000</v>
      </c>
      <c r="K367" s="37">
        <f t="shared" si="5"/>
        <v>0</v>
      </c>
      <c r="L367" s="38"/>
    </row>
    <row r="368" spans="1:12" s="39" customFormat="1">
      <c r="A368" s="31">
        <v>362</v>
      </c>
      <c r="B368" s="33" t="s">
        <v>89</v>
      </c>
      <c r="C368" s="32"/>
      <c r="D368" s="43" t="s">
        <v>88</v>
      </c>
      <c r="E368" s="32" t="s">
        <v>88</v>
      </c>
      <c r="F368" s="31" t="s">
        <v>90</v>
      </c>
      <c r="G368" s="46" t="s">
        <v>1133</v>
      </c>
      <c r="H368" s="32">
        <v>54</v>
      </c>
      <c r="I368" s="37"/>
      <c r="J368" s="37">
        <v>18000</v>
      </c>
      <c r="K368" s="37">
        <f t="shared" si="5"/>
        <v>972000</v>
      </c>
      <c r="L368" s="38"/>
    </row>
    <row r="369" spans="1:12" s="39" customFormat="1">
      <c r="A369" s="31">
        <v>363</v>
      </c>
      <c r="B369" s="86" t="s">
        <v>536</v>
      </c>
      <c r="C369" s="85"/>
      <c r="D369" s="86" t="s">
        <v>713</v>
      </c>
      <c r="E369" s="73"/>
      <c r="F369" s="69" t="s">
        <v>714</v>
      </c>
      <c r="G369" s="46" t="s">
        <v>930</v>
      </c>
      <c r="H369" s="73">
        <v>4</v>
      </c>
      <c r="I369" s="48"/>
      <c r="J369" s="48">
        <v>200000</v>
      </c>
      <c r="K369" s="37">
        <f t="shared" si="5"/>
        <v>800000</v>
      </c>
      <c r="L369" s="38"/>
    </row>
    <row r="370" spans="1:12" s="39" customFormat="1">
      <c r="A370" s="31">
        <v>364</v>
      </c>
      <c r="B370" s="86" t="s">
        <v>537</v>
      </c>
      <c r="C370" s="85"/>
      <c r="D370" s="86" t="s">
        <v>717</v>
      </c>
      <c r="E370" s="73"/>
      <c r="F370" s="69" t="s">
        <v>538</v>
      </c>
      <c r="G370" s="46" t="s">
        <v>930</v>
      </c>
      <c r="H370" s="73">
        <v>4</v>
      </c>
      <c r="I370" s="48"/>
      <c r="J370" s="48">
        <v>200000</v>
      </c>
      <c r="K370" s="37">
        <f t="shared" si="5"/>
        <v>800000</v>
      </c>
      <c r="L370" s="38"/>
    </row>
    <row r="371" spans="1:12" s="39" customFormat="1">
      <c r="A371" s="31">
        <v>365</v>
      </c>
      <c r="B371" s="45" t="s">
        <v>539</v>
      </c>
      <c r="C371" s="44"/>
      <c r="D371" s="45" t="s">
        <v>540</v>
      </c>
      <c r="E371" s="31"/>
      <c r="F371" s="42" t="s">
        <v>541</v>
      </c>
      <c r="G371" s="46" t="s">
        <v>542</v>
      </c>
      <c r="H371" s="31">
        <v>2</v>
      </c>
      <c r="I371" s="48"/>
      <c r="J371" s="48">
        <v>2460000</v>
      </c>
      <c r="K371" s="37">
        <f t="shared" si="5"/>
        <v>4920000</v>
      </c>
      <c r="L371" s="38"/>
    </row>
    <row r="372" spans="1:12" s="39" customFormat="1">
      <c r="A372" s="31">
        <v>366</v>
      </c>
      <c r="B372" s="45" t="s">
        <v>79</v>
      </c>
      <c r="C372" s="44" t="s">
        <v>81</v>
      </c>
      <c r="D372" s="45" t="s">
        <v>82</v>
      </c>
      <c r="E372" s="31"/>
      <c r="F372" s="42" t="s">
        <v>1204</v>
      </c>
      <c r="G372" s="46" t="s">
        <v>1208</v>
      </c>
      <c r="H372" s="31">
        <v>0</v>
      </c>
      <c r="I372" s="48"/>
      <c r="J372" s="48">
        <v>12790</v>
      </c>
      <c r="K372" s="37">
        <f t="shared" si="5"/>
        <v>0</v>
      </c>
      <c r="L372" s="38"/>
    </row>
    <row r="373" spans="1:12" s="39" customFormat="1">
      <c r="A373" s="31">
        <v>367</v>
      </c>
      <c r="B373" s="86" t="s">
        <v>1127</v>
      </c>
      <c r="C373" s="85"/>
      <c r="D373" s="86" t="s">
        <v>1041</v>
      </c>
      <c r="E373" s="73"/>
      <c r="F373" s="69" t="s">
        <v>624</v>
      </c>
      <c r="G373" s="46" t="s">
        <v>1208</v>
      </c>
      <c r="H373" s="73">
        <v>4</v>
      </c>
      <c r="I373" s="48"/>
      <c r="J373" s="48">
        <v>5790</v>
      </c>
      <c r="K373" s="37">
        <f t="shared" si="5"/>
        <v>23160</v>
      </c>
      <c r="L373" s="38"/>
    </row>
    <row r="374" spans="1:12" s="39" customFormat="1">
      <c r="A374" s="31">
        <v>368</v>
      </c>
      <c r="B374" s="86" t="s">
        <v>939</v>
      </c>
      <c r="C374" s="85"/>
      <c r="D374" s="86" t="s">
        <v>1124</v>
      </c>
      <c r="E374" s="73"/>
      <c r="F374" s="69" t="s">
        <v>1102</v>
      </c>
      <c r="G374" s="46" t="s">
        <v>940</v>
      </c>
      <c r="H374" s="73">
        <v>78</v>
      </c>
      <c r="I374" s="48"/>
      <c r="J374" s="48">
        <v>10000</v>
      </c>
      <c r="K374" s="37">
        <f t="shared" si="5"/>
        <v>780000</v>
      </c>
      <c r="L374" s="38"/>
    </row>
    <row r="375" spans="1:12" s="39" customFormat="1">
      <c r="A375" s="31">
        <v>369</v>
      </c>
      <c r="B375" s="99" t="s">
        <v>1141</v>
      </c>
      <c r="C375" s="54" t="s">
        <v>1234</v>
      </c>
      <c r="D375" s="55" t="s">
        <v>519</v>
      </c>
      <c r="E375" s="54" t="s">
        <v>139</v>
      </c>
      <c r="F375" s="56" t="s">
        <v>1235</v>
      </c>
      <c r="G375" s="59" t="s">
        <v>700</v>
      </c>
      <c r="H375" s="54">
        <v>3</v>
      </c>
      <c r="I375" s="48">
        <v>0</v>
      </c>
      <c r="J375" s="48"/>
      <c r="K375" s="48"/>
      <c r="L375" s="38"/>
    </row>
    <row r="376" spans="1:12" s="39" customFormat="1">
      <c r="A376" s="31">
        <v>370</v>
      </c>
      <c r="B376" s="33" t="s">
        <v>1141</v>
      </c>
      <c r="C376" s="32" t="s">
        <v>1236</v>
      </c>
      <c r="D376" s="43" t="s">
        <v>520</v>
      </c>
      <c r="E376" s="34" t="s">
        <v>139</v>
      </c>
      <c r="F376" s="31" t="s">
        <v>1237</v>
      </c>
      <c r="G376" s="59" t="s">
        <v>700</v>
      </c>
      <c r="H376" s="32">
        <v>6</v>
      </c>
      <c r="I376" s="37">
        <v>0</v>
      </c>
      <c r="J376" s="37"/>
      <c r="K376" s="37"/>
      <c r="L376" s="38"/>
    </row>
    <row r="377" spans="1:12" s="39" customFormat="1">
      <c r="A377" s="31">
        <v>371</v>
      </c>
      <c r="B377" s="97" t="s">
        <v>1141</v>
      </c>
      <c r="C377" s="58" t="s">
        <v>521</v>
      </c>
      <c r="D377" s="97" t="s">
        <v>522</v>
      </c>
      <c r="E377" s="73"/>
      <c r="F377" s="73" t="s">
        <v>828</v>
      </c>
      <c r="G377" s="46" t="s">
        <v>700</v>
      </c>
      <c r="H377" s="73">
        <v>6</v>
      </c>
      <c r="I377" s="48">
        <v>0</v>
      </c>
      <c r="J377" s="48"/>
      <c r="K377" s="48"/>
      <c r="L377" s="38"/>
    </row>
    <row r="378" spans="1:12" s="39" customFormat="1">
      <c r="A378" s="31">
        <v>372</v>
      </c>
      <c r="B378" s="33" t="s">
        <v>479</v>
      </c>
      <c r="C378" s="34"/>
      <c r="D378" s="70" t="s">
        <v>822</v>
      </c>
      <c r="E378" s="87"/>
      <c r="F378" s="32" t="s">
        <v>823</v>
      </c>
      <c r="G378" s="46" t="s">
        <v>700</v>
      </c>
      <c r="H378" s="73">
        <v>60</v>
      </c>
      <c r="I378" s="48"/>
      <c r="J378" s="48"/>
      <c r="K378" s="48"/>
      <c r="L378" s="38"/>
    </row>
    <row r="379" spans="1:12" s="39" customFormat="1">
      <c r="A379" s="31">
        <v>373</v>
      </c>
      <c r="B379" s="75" t="s">
        <v>479</v>
      </c>
      <c r="C379" s="44"/>
      <c r="D379" s="45" t="s">
        <v>480</v>
      </c>
      <c r="E379" s="42"/>
      <c r="F379" s="44" t="s">
        <v>824</v>
      </c>
      <c r="G379" s="46" t="s">
        <v>700</v>
      </c>
      <c r="H379" s="31">
        <v>3</v>
      </c>
      <c r="I379" s="48"/>
      <c r="J379" s="48"/>
      <c r="K379" s="48"/>
      <c r="L379" s="38"/>
    </row>
    <row r="380" spans="1:12" s="39" customFormat="1">
      <c r="A380" s="31">
        <v>374</v>
      </c>
      <c r="B380" s="108" t="s">
        <v>1118</v>
      </c>
      <c r="C380" s="57" t="s">
        <v>989</v>
      </c>
      <c r="D380" s="41" t="s">
        <v>481</v>
      </c>
      <c r="E380" s="58"/>
      <c r="F380" s="57" t="s">
        <v>482</v>
      </c>
      <c r="G380" s="57" t="s">
        <v>1105</v>
      </c>
      <c r="H380" s="57">
        <v>37</v>
      </c>
      <c r="I380" s="37"/>
      <c r="J380" s="37"/>
      <c r="K380" s="37"/>
      <c r="L380" s="38"/>
    </row>
    <row r="381" spans="1:12" s="39" customFormat="1">
      <c r="A381" s="31">
        <v>375</v>
      </c>
      <c r="B381" s="108" t="s">
        <v>1118</v>
      </c>
      <c r="C381" s="57" t="s">
        <v>990</v>
      </c>
      <c r="D381" s="41" t="s">
        <v>483</v>
      </c>
      <c r="E381" s="58"/>
      <c r="F381" s="57" t="s">
        <v>484</v>
      </c>
      <c r="G381" s="57" t="s">
        <v>1105</v>
      </c>
      <c r="H381" s="57">
        <v>166</v>
      </c>
      <c r="I381" s="37"/>
      <c r="J381" s="37"/>
      <c r="K381" s="37"/>
      <c r="L381" s="38"/>
    </row>
    <row r="382" spans="1:12" s="39" customFormat="1">
      <c r="A382" s="31">
        <v>376</v>
      </c>
      <c r="B382" s="33" t="s">
        <v>1118</v>
      </c>
      <c r="C382" s="34" t="s">
        <v>988</v>
      </c>
      <c r="D382" s="70" t="s">
        <v>485</v>
      </c>
      <c r="E382" s="87"/>
      <c r="F382" s="31" t="s">
        <v>882</v>
      </c>
      <c r="G382" s="98" t="s">
        <v>1105</v>
      </c>
      <c r="H382" s="73">
        <v>32</v>
      </c>
      <c r="I382" s="48"/>
      <c r="J382" s="48"/>
      <c r="K382" s="48"/>
      <c r="L382" s="38"/>
    </row>
    <row r="383" spans="1:12" s="39" customFormat="1">
      <c r="A383" s="31">
        <v>377</v>
      </c>
      <c r="B383" s="33" t="s">
        <v>1118</v>
      </c>
      <c r="C383" s="34" t="s">
        <v>486</v>
      </c>
      <c r="D383" s="70" t="s">
        <v>481</v>
      </c>
      <c r="E383" s="87"/>
      <c r="F383" s="31" t="s">
        <v>487</v>
      </c>
      <c r="G383" s="98" t="s">
        <v>700</v>
      </c>
      <c r="H383" s="73">
        <v>132</v>
      </c>
      <c r="I383" s="48"/>
      <c r="J383" s="48"/>
      <c r="K383" s="48"/>
      <c r="L383" s="38"/>
    </row>
    <row r="384" spans="1:12" s="39" customFormat="1">
      <c r="A384" s="31">
        <v>378</v>
      </c>
      <c r="B384" s="99" t="s">
        <v>1118</v>
      </c>
      <c r="C384" s="53" t="s">
        <v>488</v>
      </c>
      <c r="D384" s="99" t="s">
        <v>485</v>
      </c>
      <c r="E384" s="53"/>
      <c r="F384" s="100" t="s">
        <v>489</v>
      </c>
      <c r="G384" s="59" t="s">
        <v>700</v>
      </c>
      <c r="H384" s="53">
        <v>24</v>
      </c>
      <c r="I384" s="37"/>
      <c r="J384" s="37"/>
      <c r="K384" s="37"/>
      <c r="L384" s="38"/>
    </row>
    <row r="385" spans="1:12" s="39" customFormat="1">
      <c r="A385" s="31">
        <v>379</v>
      </c>
      <c r="B385" s="33" t="s">
        <v>1106</v>
      </c>
      <c r="C385" s="32" t="s">
        <v>490</v>
      </c>
      <c r="D385" s="41" t="s">
        <v>1107</v>
      </c>
      <c r="E385" s="34"/>
      <c r="F385" s="32" t="s">
        <v>491</v>
      </c>
      <c r="G385" s="32" t="s">
        <v>1105</v>
      </c>
      <c r="H385" s="74">
        <v>0</v>
      </c>
      <c r="I385" s="37"/>
      <c r="J385" s="37"/>
      <c r="K385" s="37"/>
      <c r="L385" s="38"/>
    </row>
    <row r="386" spans="1:12" s="39" customFormat="1">
      <c r="A386" s="31">
        <v>380</v>
      </c>
      <c r="B386" s="33" t="s">
        <v>1106</v>
      </c>
      <c r="C386" s="32" t="s">
        <v>492</v>
      </c>
      <c r="D386" s="41" t="s">
        <v>1108</v>
      </c>
      <c r="E386" s="34"/>
      <c r="F386" s="32" t="s">
        <v>493</v>
      </c>
      <c r="G386" s="32" t="s">
        <v>1105</v>
      </c>
      <c r="H386" s="74">
        <v>31</v>
      </c>
      <c r="I386" s="37"/>
      <c r="J386" s="37"/>
      <c r="K386" s="37"/>
      <c r="L386" s="38"/>
    </row>
    <row r="387" spans="1:12" s="39" customFormat="1">
      <c r="A387" s="31">
        <v>381</v>
      </c>
      <c r="B387" s="99" t="s">
        <v>1118</v>
      </c>
      <c r="C387" s="53" t="s">
        <v>494</v>
      </c>
      <c r="D387" s="99" t="s">
        <v>495</v>
      </c>
      <c r="E387" s="53"/>
      <c r="F387" s="100" t="s">
        <v>496</v>
      </c>
      <c r="G387" s="59" t="s">
        <v>700</v>
      </c>
      <c r="H387" s="53">
        <v>0</v>
      </c>
      <c r="I387" s="37"/>
      <c r="J387" s="37"/>
      <c r="K387" s="37"/>
      <c r="L387" s="38"/>
    </row>
    <row r="388" spans="1:12" s="39" customFormat="1">
      <c r="A388" s="31">
        <v>382</v>
      </c>
      <c r="B388" s="33" t="s">
        <v>1118</v>
      </c>
      <c r="C388" s="32" t="s">
        <v>494</v>
      </c>
      <c r="D388" s="41" t="s">
        <v>495</v>
      </c>
      <c r="E388" s="34"/>
      <c r="F388" s="32" t="s">
        <v>497</v>
      </c>
      <c r="G388" s="32" t="s">
        <v>700</v>
      </c>
      <c r="H388" s="74">
        <v>0</v>
      </c>
      <c r="I388" s="37"/>
      <c r="J388" s="37"/>
      <c r="K388" s="37"/>
      <c r="L388" s="38"/>
    </row>
    <row r="389" spans="1:12" s="39" customFormat="1">
      <c r="A389" s="31">
        <v>383</v>
      </c>
      <c r="B389" s="50" t="s">
        <v>393</v>
      </c>
      <c r="C389" s="49"/>
      <c r="D389" s="50" t="s">
        <v>394</v>
      </c>
      <c r="E389" s="51"/>
      <c r="F389" s="49" t="s">
        <v>395</v>
      </c>
      <c r="G389" s="49" t="s">
        <v>940</v>
      </c>
      <c r="H389" s="49">
        <v>120</v>
      </c>
      <c r="I389" s="37"/>
      <c r="J389" s="37"/>
      <c r="K389" s="37"/>
      <c r="L389" s="38"/>
    </row>
    <row r="390" spans="1:12" s="39" customFormat="1">
      <c r="A390" s="31">
        <v>384</v>
      </c>
      <c r="B390" s="75" t="s">
        <v>1010</v>
      </c>
      <c r="C390" s="31"/>
      <c r="D390" s="41" t="s">
        <v>1011</v>
      </c>
      <c r="E390" s="31"/>
      <c r="F390" s="42" t="s">
        <v>1012</v>
      </c>
      <c r="G390" s="46" t="s">
        <v>1013</v>
      </c>
      <c r="H390" s="31">
        <v>8</v>
      </c>
      <c r="I390" s="48"/>
      <c r="J390" s="48"/>
      <c r="K390" s="48"/>
      <c r="L390" s="38"/>
    </row>
    <row r="391" spans="1:12" s="39" customFormat="1">
      <c r="A391" s="31">
        <v>385</v>
      </c>
      <c r="B391" s="86" t="s">
        <v>1138</v>
      </c>
      <c r="C391" s="92"/>
      <c r="D391" s="86" t="s">
        <v>1139</v>
      </c>
      <c r="E391" s="92"/>
      <c r="F391" s="69" t="s">
        <v>880</v>
      </c>
      <c r="G391" s="46" t="s">
        <v>700</v>
      </c>
      <c r="H391" s="73">
        <v>11</v>
      </c>
      <c r="I391" s="48"/>
      <c r="J391" s="48"/>
      <c r="K391" s="48"/>
      <c r="L391" s="38"/>
    </row>
    <row r="392" spans="1:12" s="39" customFormat="1">
      <c r="A392" s="31">
        <v>386</v>
      </c>
      <c r="B392" s="86" t="s">
        <v>1184</v>
      </c>
      <c r="C392" s="85"/>
      <c r="D392" s="86" t="s">
        <v>1185</v>
      </c>
      <c r="E392" s="73"/>
      <c r="F392" s="69" t="s">
        <v>889</v>
      </c>
      <c r="G392" s="32" t="s">
        <v>700</v>
      </c>
      <c r="H392" s="73">
        <v>3</v>
      </c>
      <c r="I392" s="48"/>
      <c r="J392" s="48"/>
      <c r="K392" s="48"/>
      <c r="L392" s="38"/>
    </row>
    <row r="393" spans="1:12" s="39" customFormat="1">
      <c r="A393" s="31">
        <v>387</v>
      </c>
      <c r="B393" s="33" t="s">
        <v>1120</v>
      </c>
      <c r="C393" s="32"/>
      <c r="D393" s="43" t="s">
        <v>1121</v>
      </c>
      <c r="E393" s="32"/>
      <c r="F393" s="31" t="s">
        <v>877</v>
      </c>
      <c r="G393" s="32" t="s">
        <v>1105</v>
      </c>
      <c r="H393" s="32">
        <v>13</v>
      </c>
      <c r="I393" s="37"/>
      <c r="J393" s="37"/>
      <c r="K393" s="37"/>
      <c r="L393" s="38"/>
    </row>
    <row r="394" spans="1:12" s="39" customFormat="1">
      <c r="A394" s="31">
        <v>388</v>
      </c>
      <c r="B394" s="33" t="s">
        <v>1120</v>
      </c>
      <c r="C394" s="101"/>
      <c r="D394" s="102" t="s">
        <v>1121</v>
      </c>
      <c r="E394" s="101" t="s">
        <v>1002</v>
      </c>
      <c r="F394" s="103" t="s">
        <v>1003</v>
      </c>
      <c r="G394" s="59" t="s">
        <v>700</v>
      </c>
      <c r="H394" s="54">
        <v>8</v>
      </c>
      <c r="I394" s="48"/>
      <c r="J394" s="48"/>
      <c r="K394" s="48"/>
      <c r="L394" s="38"/>
    </row>
    <row r="395" spans="1:12" s="39" customFormat="1">
      <c r="A395" s="31">
        <v>389</v>
      </c>
      <c r="B395" s="33" t="s">
        <v>1111</v>
      </c>
      <c r="C395" s="32" t="s">
        <v>987</v>
      </c>
      <c r="D395" s="41"/>
      <c r="E395" s="34"/>
      <c r="F395" s="32" t="s">
        <v>498</v>
      </c>
      <c r="G395" s="32" t="s">
        <v>1105</v>
      </c>
      <c r="H395" s="74">
        <v>105</v>
      </c>
      <c r="I395" s="37"/>
      <c r="J395" s="37"/>
      <c r="K395" s="37"/>
      <c r="L395" s="38"/>
    </row>
    <row r="396" spans="1:12" s="39" customFormat="1">
      <c r="A396" s="31">
        <v>390</v>
      </c>
      <c r="B396" s="45" t="s">
        <v>1111</v>
      </c>
      <c r="C396" s="42" t="s">
        <v>987</v>
      </c>
      <c r="D396" s="43"/>
      <c r="E396" s="42"/>
      <c r="F396" s="42" t="s">
        <v>206</v>
      </c>
      <c r="G396" s="46" t="s">
        <v>1133</v>
      </c>
      <c r="H396" s="31">
        <v>0</v>
      </c>
      <c r="I396" s="48"/>
      <c r="J396" s="48"/>
      <c r="K396" s="48"/>
      <c r="L396" s="38"/>
    </row>
    <row r="397" spans="1:12" s="39" customFormat="1">
      <c r="A397" s="31">
        <v>391</v>
      </c>
      <c r="B397" s="45" t="s">
        <v>499</v>
      </c>
      <c r="C397" s="42" t="s">
        <v>992</v>
      </c>
      <c r="D397" s="43"/>
      <c r="E397" s="42"/>
      <c r="F397" s="42" t="s">
        <v>888</v>
      </c>
      <c r="G397" s="46" t="s">
        <v>700</v>
      </c>
      <c r="H397" s="31">
        <v>12</v>
      </c>
      <c r="I397" s="48"/>
      <c r="J397" s="48"/>
      <c r="K397" s="48"/>
      <c r="L397" s="38"/>
    </row>
    <row r="398" spans="1:12" s="39" customFormat="1">
      <c r="A398" s="31">
        <v>392</v>
      </c>
      <c r="B398" s="45" t="s">
        <v>499</v>
      </c>
      <c r="C398" s="42" t="s">
        <v>992</v>
      </c>
      <c r="D398" s="43"/>
      <c r="E398" s="42"/>
      <c r="F398" s="42" t="s">
        <v>993</v>
      </c>
      <c r="G398" s="46" t="s">
        <v>62</v>
      </c>
      <c r="H398" s="31">
        <v>6</v>
      </c>
      <c r="I398" s="48"/>
      <c r="J398" s="48"/>
      <c r="K398" s="48"/>
      <c r="L398" s="38"/>
    </row>
    <row r="399" spans="1:12" s="39" customFormat="1">
      <c r="A399" s="31">
        <v>393</v>
      </c>
      <c r="B399" s="50" t="s">
        <v>1109</v>
      </c>
      <c r="C399" s="49" t="s">
        <v>207</v>
      </c>
      <c r="D399" s="50" t="s">
        <v>1110</v>
      </c>
      <c r="E399" s="49"/>
      <c r="F399" s="82" t="s">
        <v>500</v>
      </c>
      <c r="G399" s="59" t="s">
        <v>1105</v>
      </c>
      <c r="H399" s="49">
        <v>14</v>
      </c>
      <c r="I399" s="37"/>
      <c r="J399" s="37"/>
      <c r="K399" s="37"/>
      <c r="L399" s="38"/>
    </row>
    <row r="400" spans="1:12" s="39" customFormat="1">
      <c r="A400" s="31">
        <v>394</v>
      </c>
      <c r="B400" s="50" t="s">
        <v>1140</v>
      </c>
      <c r="C400" s="49"/>
      <c r="D400" s="50"/>
      <c r="E400" s="49"/>
      <c r="F400" s="82" t="s">
        <v>878</v>
      </c>
      <c r="G400" s="59" t="s">
        <v>1133</v>
      </c>
      <c r="H400" s="49">
        <v>12</v>
      </c>
      <c r="I400" s="37"/>
      <c r="J400" s="37"/>
      <c r="K400" s="37"/>
      <c r="L400" s="38"/>
    </row>
    <row r="401" spans="1:12" s="39" customFormat="1">
      <c r="A401" s="31">
        <v>395</v>
      </c>
      <c r="B401" s="76" t="s">
        <v>701</v>
      </c>
      <c r="C401" s="96"/>
      <c r="D401" s="76" t="s">
        <v>702</v>
      </c>
      <c r="E401" s="46"/>
      <c r="F401" s="42" t="s">
        <v>703</v>
      </c>
      <c r="G401" s="46" t="s">
        <v>700</v>
      </c>
      <c r="H401" s="31">
        <v>4</v>
      </c>
      <c r="I401" s="48"/>
      <c r="J401" s="48"/>
      <c r="K401" s="48"/>
      <c r="L401" s="38"/>
    </row>
    <row r="402" spans="1:12" s="39" customFormat="1">
      <c r="A402" s="31">
        <v>396</v>
      </c>
      <c r="B402" s="33" t="s">
        <v>501</v>
      </c>
      <c r="C402" s="32" t="s">
        <v>502</v>
      </c>
      <c r="D402" s="43" t="s">
        <v>593</v>
      </c>
      <c r="E402" s="34"/>
      <c r="F402" s="31" t="s">
        <v>594</v>
      </c>
      <c r="G402" s="32" t="s">
        <v>1196</v>
      </c>
      <c r="H402" s="32">
        <v>3</v>
      </c>
      <c r="I402" s="37"/>
      <c r="J402" s="37"/>
      <c r="K402" s="37"/>
      <c r="L402" s="38"/>
    </row>
    <row r="403" spans="1:12" s="39" customFormat="1">
      <c r="A403" s="31">
        <v>397</v>
      </c>
      <c r="B403" s="76" t="s">
        <v>1017</v>
      </c>
      <c r="C403" s="96" t="s">
        <v>1245</v>
      </c>
      <c r="D403" s="76" t="s">
        <v>1246</v>
      </c>
      <c r="E403" s="46"/>
      <c r="F403" s="42" t="s">
        <v>1247</v>
      </c>
      <c r="G403" s="46" t="s">
        <v>1196</v>
      </c>
      <c r="H403" s="31">
        <v>7</v>
      </c>
      <c r="I403" s="48"/>
      <c r="J403" s="48"/>
      <c r="K403" s="48"/>
      <c r="L403" s="38"/>
    </row>
    <row r="404" spans="1:12" s="39" customFormat="1">
      <c r="A404" s="31">
        <v>398</v>
      </c>
      <c r="B404" s="110" t="s">
        <v>1017</v>
      </c>
      <c r="C404" s="87"/>
      <c r="D404" s="76" t="s">
        <v>1015</v>
      </c>
      <c r="E404" s="46" t="s">
        <v>1192</v>
      </c>
      <c r="F404" s="42" t="s">
        <v>1018</v>
      </c>
      <c r="G404" s="46" t="s">
        <v>1134</v>
      </c>
      <c r="H404" s="32">
        <v>8</v>
      </c>
      <c r="I404" s="37"/>
      <c r="J404" s="37"/>
      <c r="K404" s="37"/>
      <c r="L404" s="38"/>
    </row>
    <row r="405" spans="1:12" s="39" customFormat="1">
      <c r="A405" s="31">
        <v>399</v>
      </c>
      <c r="B405" s="76" t="s">
        <v>1014</v>
      </c>
      <c r="C405" s="96"/>
      <c r="D405" s="76" t="s">
        <v>1015</v>
      </c>
      <c r="E405" s="46" t="s">
        <v>1192</v>
      </c>
      <c r="F405" s="42" t="s">
        <v>1016</v>
      </c>
      <c r="G405" s="46" t="s">
        <v>1134</v>
      </c>
      <c r="H405" s="73">
        <v>0</v>
      </c>
      <c r="I405" s="48"/>
      <c r="J405" s="48"/>
      <c r="K405" s="48"/>
      <c r="L405" s="38"/>
    </row>
    <row r="406" spans="1:12" s="39" customFormat="1">
      <c r="A406" s="31">
        <v>400</v>
      </c>
      <c r="B406" s="76" t="s">
        <v>1014</v>
      </c>
      <c r="C406" s="96" t="s">
        <v>0</v>
      </c>
      <c r="D406" s="76" t="s">
        <v>1246</v>
      </c>
      <c r="E406" s="46"/>
      <c r="F406" s="42" t="s">
        <v>1</v>
      </c>
      <c r="G406" s="46" t="s">
        <v>1196</v>
      </c>
      <c r="H406" s="73">
        <v>4</v>
      </c>
      <c r="I406" s="48"/>
      <c r="J406" s="48"/>
      <c r="K406" s="48"/>
      <c r="L406" s="38"/>
    </row>
    <row r="407" spans="1:12" s="39" customFormat="1">
      <c r="A407" s="31">
        <v>401</v>
      </c>
      <c r="B407" s="75" t="s">
        <v>966</v>
      </c>
      <c r="C407" s="31" t="s">
        <v>967</v>
      </c>
      <c r="D407" s="41" t="s">
        <v>1187</v>
      </c>
      <c r="E407" s="31"/>
      <c r="F407" s="31" t="s">
        <v>1068</v>
      </c>
      <c r="G407" s="46" t="s">
        <v>1196</v>
      </c>
      <c r="H407" s="31">
        <v>0</v>
      </c>
      <c r="I407" s="48"/>
      <c r="J407" s="48"/>
      <c r="K407" s="48"/>
      <c r="L407" s="38"/>
    </row>
    <row r="408" spans="1:12" s="39" customFormat="1">
      <c r="A408" s="31">
        <v>402</v>
      </c>
      <c r="B408" s="75" t="s">
        <v>966</v>
      </c>
      <c r="C408" s="31" t="s">
        <v>968</v>
      </c>
      <c r="D408" s="41" t="s">
        <v>1188</v>
      </c>
      <c r="E408" s="31"/>
      <c r="F408" s="31" t="s">
        <v>1069</v>
      </c>
      <c r="G408" s="46" t="s">
        <v>1196</v>
      </c>
      <c r="H408" s="31">
        <v>3</v>
      </c>
      <c r="I408" s="48"/>
      <c r="J408" s="48"/>
      <c r="K408" s="48"/>
      <c r="L408" s="38"/>
    </row>
    <row r="409" spans="1:12" s="39" customFormat="1">
      <c r="A409" s="31">
        <v>403</v>
      </c>
      <c r="B409" s="99" t="s">
        <v>966</v>
      </c>
      <c r="C409" s="53" t="s">
        <v>969</v>
      </c>
      <c r="D409" s="99" t="s">
        <v>1189</v>
      </c>
      <c r="E409" s="53"/>
      <c r="F409" s="100" t="s">
        <v>1070</v>
      </c>
      <c r="G409" s="59" t="s">
        <v>1196</v>
      </c>
      <c r="H409" s="53">
        <v>0</v>
      </c>
      <c r="I409" s="37"/>
      <c r="J409" s="37"/>
      <c r="K409" s="37"/>
      <c r="L409" s="38"/>
    </row>
    <row r="410" spans="1:12" s="39" customFormat="1">
      <c r="A410" s="31">
        <v>404</v>
      </c>
      <c r="B410" s="50" t="s">
        <v>966</v>
      </c>
      <c r="C410" s="49" t="s">
        <v>970</v>
      </c>
      <c r="D410" s="50" t="s">
        <v>1190</v>
      </c>
      <c r="E410" s="49"/>
      <c r="F410" s="82" t="s">
        <v>1071</v>
      </c>
      <c r="G410" s="59" t="s">
        <v>1196</v>
      </c>
      <c r="H410" s="49">
        <v>3</v>
      </c>
      <c r="I410" s="37"/>
      <c r="J410" s="37"/>
      <c r="K410" s="37"/>
      <c r="L410" s="38"/>
    </row>
    <row r="411" spans="1:12" s="39" customFormat="1">
      <c r="A411" s="31">
        <v>405</v>
      </c>
      <c r="B411" s="50" t="s">
        <v>966</v>
      </c>
      <c r="C411" s="49" t="s">
        <v>971</v>
      </c>
      <c r="D411" s="50" t="s">
        <v>972</v>
      </c>
      <c r="E411" s="49"/>
      <c r="F411" s="82" t="s">
        <v>1072</v>
      </c>
      <c r="G411" s="59" t="s">
        <v>1196</v>
      </c>
      <c r="H411" s="49">
        <v>3</v>
      </c>
      <c r="I411" s="37"/>
      <c r="J411" s="37"/>
      <c r="K411" s="37"/>
      <c r="L411" s="38"/>
    </row>
    <row r="412" spans="1:12" s="39" customFormat="1">
      <c r="A412" s="31">
        <v>406</v>
      </c>
      <c r="B412" s="75" t="s">
        <v>966</v>
      </c>
      <c r="C412" s="31" t="s">
        <v>973</v>
      </c>
      <c r="D412" s="76" t="s">
        <v>1191</v>
      </c>
      <c r="E412" s="31"/>
      <c r="F412" s="42" t="s">
        <v>1152</v>
      </c>
      <c r="G412" s="46" t="s">
        <v>1196</v>
      </c>
      <c r="H412" s="31">
        <v>3</v>
      </c>
      <c r="I412" s="48"/>
      <c r="J412" s="48"/>
      <c r="K412" s="48"/>
      <c r="L412" s="38"/>
    </row>
    <row r="413" spans="1:12" s="39" customFormat="1">
      <c r="A413" s="31">
        <v>407</v>
      </c>
      <c r="B413" s="33" t="s">
        <v>966</v>
      </c>
      <c r="C413" s="32" t="s">
        <v>974</v>
      </c>
      <c r="D413" s="43" t="s">
        <v>1193</v>
      </c>
      <c r="E413" s="34"/>
      <c r="F413" s="31" t="s">
        <v>1153</v>
      </c>
      <c r="G413" s="32" t="s">
        <v>1196</v>
      </c>
      <c r="H413" s="32">
        <v>3</v>
      </c>
      <c r="I413" s="37"/>
      <c r="J413" s="37"/>
      <c r="K413" s="37"/>
      <c r="L413" s="38"/>
    </row>
    <row r="414" spans="1:12" s="39" customFormat="1">
      <c r="A414" s="31">
        <v>408</v>
      </c>
      <c r="B414" s="75" t="s">
        <v>966</v>
      </c>
      <c r="C414" s="31" t="s">
        <v>975</v>
      </c>
      <c r="D414" s="41" t="s">
        <v>976</v>
      </c>
      <c r="E414" s="31"/>
      <c r="F414" s="31" t="s">
        <v>977</v>
      </c>
      <c r="G414" s="46" t="s">
        <v>1196</v>
      </c>
      <c r="H414" s="31">
        <v>0</v>
      </c>
      <c r="I414" s="48"/>
      <c r="J414" s="48"/>
      <c r="K414" s="48"/>
      <c r="L414" s="38"/>
    </row>
    <row r="415" spans="1:12" s="39" customFormat="1">
      <c r="A415" s="31">
        <v>409</v>
      </c>
      <c r="B415" s="33" t="s">
        <v>966</v>
      </c>
      <c r="C415" s="32" t="s">
        <v>1019</v>
      </c>
      <c r="D415" s="43" t="s">
        <v>1020</v>
      </c>
      <c r="E415" s="34" t="s">
        <v>1192</v>
      </c>
      <c r="F415" s="31" t="s">
        <v>1021</v>
      </c>
      <c r="G415" s="32" t="s">
        <v>1134</v>
      </c>
      <c r="H415" s="32">
        <v>0</v>
      </c>
      <c r="I415" s="37"/>
      <c r="J415" s="37"/>
      <c r="K415" s="37"/>
      <c r="L415" s="38"/>
    </row>
    <row r="416" spans="1:12" s="39" customFormat="1">
      <c r="A416" s="31">
        <v>410</v>
      </c>
      <c r="B416" s="75" t="s">
        <v>966</v>
      </c>
      <c r="C416" s="31" t="s">
        <v>1022</v>
      </c>
      <c r="D416" s="41" t="s">
        <v>1023</v>
      </c>
      <c r="E416" s="31" t="s">
        <v>1192</v>
      </c>
      <c r="F416" s="31" t="s">
        <v>1024</v>
      </c>
      <c r="G416" s="46" t="s">
        <v>1134</v>
      </c>
      <c r="H416" s="31">
        <v>8</v>
      </c>
      <c r="I416" s="48"/>
      <c r="J416" s="48"/>
      <c r="K416" s="48"/>
      <c r="L416" s="38"/>
    </row>
    <row r="417" spans="1:12" s="39" customFormat="1">
      <c r="A417" s="31">
        <v>411</v>
      </c>
      <c r="B417" s="45" t="s">
        <v>966</v>
      </c>
      <c r="C417" s="34" t="s">
        <v>1025</v>
      </c>
      <c r="D417" s="43" t="s">
        <v>1026</v>
      </c>
      <c r="E417" s="42" t="s">
        <v>1192</v>
      </c>
      <c r="F417" s="31" t="s">
        <v>1027</v>
      </c>
      <c r="G417" s="46" t="s">
        <v>1134</v>
      </c>
      <c r="H417" s="31">
        <v>0</v>
      </c>
      <c r="I417" s="48"/>
      <c r="J417" s="48"/>
      <c r="K417" s="48"/>
      <c r="L417" s="38"/>
    </row>
    <row r="418" spans="1:12" s="39" customFormat="1">
      <c r="A418" s="31">
        <v>412</v>
      </c>
      <c r="B418" s="45" t="s">
        <v>966</v>
      </c>
      <c r="C418" s="34" t="s">
        <v>1028</v>
      </c>
      <c r="D418" s="43" t="s">
        <v>1029</v>
      </c>
      <c r="E418" s="42" t="s">
        <v>1192</v>
      </c>
      <c r="F418" s="31" t="s">
        <v>1030</v>
      </c>
      <c r="G418" s="46" t="s">
        <v>1134</v>
      </c>
      <c r="H418" s="31">
        <v>8</v>
      </c>
      <c r="I418" s="48"/>
      <c r="J418" s="48"/>
      <c r="K418" s="48"/>
      <c r="L418" s="38"/>
    </row>
    <row r="419" spans="1:12" s="39" customFormat="1">
      <c r="A419" s="31">
        <v>413</v>
      </c>
      <c r="B419" s="45" t="s">
        <v>966</v>
      </c>
      <c r="C419" s="34" t="s">
        <v>1031</v>
      </c>
      <c r="D419" s="43" t="s">
        <v>1032</v>
      </c>
      <c r="E419" s="42" t="s">
        <v>1192</v>
      </c>
      <c r="F419" s="31" t="s">
        <v>1033</v>
      </c>
      <c r="G419" s="46" t="s">
        <v>1134</v>
      </c>
      <c r="H419" s="31">
        <v>8</v>
      </c>
      <c r="I419" s="48"/>
      <c r="J419" s="48"/>
      <c r="K419" s="48"/>
      <c r="L419" s="38"/>
    </row>
    <row r="420" spans="1:12" s="39" customFormat="1">
      <c r="A420" s="31">
        <v>414</v>
      </c>
      <c r="B420" s="33" t="s">
        <v>954</v>
      </c>
      <c r="C420" s="32" t="s">
        <v>978</v>
      </c>
      <c r="D420" s="33" t="s">
        <v>979</v>
      </c>
      <c r="E420" s="34"/>
      <c r="F420" s="31" t="s">
        <v>980</v>
      </c>
      <c r="G420" s="32" t="s">
        <v>1196</v>
      </c>
      <c r="H420" s="32">
        <v>0</v>
      </c>
      <c r="I420" s="37"/>
      <c r="J420" s="37"/>
      <c r="K420" s="37"/>
      <c r="L420" s="38"/>
    </row>
    <row r="421" spans="1:12" s="39" customFormat="1">
      <c r="A421" s="31">
        <v>415</v>
      </c>
      <c r="B421" s="108" t="s">
        <v>954</v>
      </c>
      <c r="C421" s="57" t="s">
        <v>981</v>
      </c>
      <c r="D421" s="41" t="s">
        <v>982</v>
      </c>
      <c r="E421" s="58"/>
      <c r="F421" s="57" t="s">
        <v>983</v>
      </c>
      <c r="G421" s="57" t="s">
        <v>1196</v>
      </c>
      <c r="H421" s="57">
        <v>3</v>
      </c>
      <c r="I421" s="37"/>
      <c r="J421" s="37"/>
      <c r="K421" s="37"/>
      <c r="L421" s="38"/>
    </row>
    <row r="422" spans="1:12" s="39" customFormat="1">
      <c r="A422" s="31">
        <v>416</v>
      </c>
      <c r="B422" s="108" t="s">
        <v>954</v>
      </c>
      <c r="C422" s="57" t="s">
        <v>984</v>
      </c>
      <c r="D422" s="41" t="s">
        <v>985</v>
      </c>
      <c r="E422" s="58"/>
      <c r="F422" s="57" t="s">
        <v>986</v>
      </c>
      <c r="G422" s="57" t="s">
        <v>1196</v>
      </c>
      <c r="H422" s="57">
        <v>0</v>
      </c>
      <c r="I422" s="37"/>
      <c r="J422" s="37"/>
      <c r="K422" s="37"/>
      <c r="L422" s="38"/>
    </row>
    <row r="423" spans="1:12" s="39" customFormat="1">
      <c r="A423" s="31">
        <v>417</v>
      </c>
      <c r="B423" s="99" t="s">
        <v>1034</v>
      </c>
      <c r="C423" s="53" t="s">
        <v>1035</v>
      </c>
      <c r="D423" s="75" t="s">
        <v>1036</v>
      </c>
      <c r="E423" s="44"/>
      <c r="F423" s="31" t="s">
        <v>1037</v>
      </c>
      <c r="G423" s="59" t="s">
        <v>1134</v>
      </c>
      <c r="H423" s="54">
        <v>18</v>
      </c>
      <c r="I423" s="48"/>
      <c r="J423" s="48"/>
      <c r="K423" s="48"/>
      <c r="L423" s="38"/>
    </row>
    <row r="424" spans="1:12" s="39" customFormat="1">
      <c r="A424" s="31">
        <v>418</v>
      </c>
      <c r="B424" s="99" t="s">
        <v>1034</v>
      </c>
      <c r="C424" s="53" t="s">
        <v>1038</v>
      </c>
      <c r="D424" s="75" t="s">
        <v>1039</v>
      </c>
      <c r="E424" s="44"/>
      <c r="F424" s="31" t="s">
        <v>1040</v>
      </c>
      <c r="G424" s="59" t="s">
        <v>1134</v>
      </c>
      <c r="H424" s="54">
        <v>18</v>
      </c>
      <c r="I424" s="48"/>
      <c r="J424" s="48"/>
      <c r="K424" s="48"/>
      <c r="L424" s="38"/>
    </row>
    <row r="425" spans="1:12" s="39" customFormat="1">
      <c r="A425" s="31">
        <v>419</v>
      </c>
      <c r="B425" s="33" t="s">
        <v>503</v>
      </c>
      <c r="C425" s="32" t="s">
        <v>504</v>
      </c>
      <c r="D425" s="43" t="s">
        <v>505</v>
      </c>
      <c r="E425" s="32"/>
      <c r="F425" s="31" t="s">
        <v>708</v>
      </c>
      <c r="G425" s="59" t="s">
        <v>1196</v>
      </c>
      <c r="H425" s="32">
        <v>6</v>
      </c>
      <c r="I425" s="37"/>
      <c r="J425" s="37"/>
      <c r="K425" s="37"/>
      <c r="L425" s="38"/>
    </row>
    <row r="426" spans="1:12" s="39" customFormat="1">
      <c r="A426" s="31">
        <v>420</v>
      </c>
      <c r="B426" s="45" t="s">
        <v>506</v>
      </c>
      <c r="C426" s="34"/>
      <c r="D426" s="43" t="s">
        <v>507</v>
      </c>
      <c r="E426" s="34"/>
      <c r="F426" s="42" t="s">
        <v>508</v>
      </c>
      <c r="G426" s="46" t="s">
        <v>509</v>
      </c>
      <c r="H426" s="31">
        <v>3</v>
      </c>
      <c r="I426" s="48"/>
      <c r="J426" s="48"/>
      <c r="K426" s="48"/>
      <c r="L426" s="38"/>
    </row>
    <row r="427" spans="1:12" s="39" customFormat="1">
      <c r="A427" s="31">
        <v>421</v>
      </c>
      <c r="B427" s="45" t="s">
        <v>510</v>
      </c>
      <c r="C427" s="44" t="s">
        <v>511</v>
      </c>
      <c r="D427" s="43" t="s">
        <v>512</v>
      </c>
      <c r="E427" s="31"/>
      <c r="F427" s="31" t="s">
        <v>709</v>
      </c>
      <c r="G427" s="46" t="s">
        <v>1196</v>
      </c>
      <c r="H427" s="31">
        <v>3</v>
      </c>
      <c r="I427" s="48"/>
      <c r="J427" s="48"/>
      <c r="K427" s="48"/>
      <c r="L427" s="38"/>
    </row>
    <row r="428" spans="1:12" s="39" customFormat="1">
      <c r="A428" s="31">
        <v>422</v>
      </c>
      <c r="B428" s="45" t="s">
        <v>1135</v>
      </c>
      <c r="C428" s="44" t="s">
        <v>1004</v>
      </c>
      <c r="D428" s="43" t="s">
        <v>1135</v>
      </c>
      <c r="E428" s="31"/>
      <c r="F428" s="31" t="s">
        <v>1005</v>
      </c>
      <c r="G428" s="46" t="s">
        <v>1196</v>
      </c>
      <c r="H428" s="31">
        <v>21</v>
      </c>
      <c r="I428" s="48"/>
      <c r="J428" s="48"/>
      <c r="K428" s="48"/>
      <c r="L428" s="38"/>
    </row>
    <row r="429" spans="1:12" s="39" customFormat="1">
      <c r="A429" s="31">
        <v>423</v>
      </c>
      <c r="B429" s="45" t="s">
        <v>932</v>
      </c>
      <c r="C429" s="44" t="s">
        <v>1006</v>
      </c>
      <c r="D429" s="43" t="s">
        <v>933</v>
      </c>
      <c r="E429" s="31"/>
      <c r="F429" s="42" t="s">
        <v>879</v>
      </c>
      <c r="G429" s="46" t="s">
        <v>934</v>
      </c>
      <c r="H429" s="31">
        <v>24</v>
      </c>
      <c r="I429" s="48"/>
      <c r="J429" s="48"/>
      <c r="K429" s="48"/>
      <c r="L429" s="38"/>
    </row>
    <row r="430" spans="1:12" s="39" customFormat="1">
      <c r="A430" s="31">
        <v>424</v>
      </c>
      <c r="B430" s="45" t="s">
        <v>932</v>
      </c>
      <c r="C430" s="44" t="s">
        <v>1007</v>
      </c>
      <c r="D430" s="43" t="s">
        <v>1008</v>
      </c>
      <c r="E430" s="46"/>
      <c r="F430" s="42" t="s">
        <v>1009</v>
      </c>
      <c r="G430" s="46" t="s">
        <v>934</v>
      </c>
      <c r="H430" s="31">
        <v>0</v>
      </c>
      <c r="I430" s="48"/>
      <c r="J430" s="48"/>
      <c r="K430" s="48"/>
      <c r="L430" s="38"/>
    </row>
    <row r="431" spans="1:12" s="39" customFormat="1">
      <c r="A431" s="31">
        <v>425</v>
      </c>
      <c r="B431" s="33" t="s">
        <v>932</v>
      </c>
      <c r="C431" s="32" t="s">
        <v>710</v>
      </c>
      <c r="D431" s="43" t="s">
        <v>513</v>
      </c>
      <c r="E431" s="34"/>
      <c r="F431" s="31" t="s">
        <v>711</v>
      </c>
      <c r="G431" s="32" t="s">
        <v>514</v>
      </c>
      <c r="H431" s="32">
        <v>2</v>
      </c>
      <c r="I431" s="37"/>
      <c r="J431" s="37"/>
      <c r="K431" s="37"/>
      <c r="L431" s="38"/>
    </row>
    <row r="432" spans="1:12" s="39" customFormat="1">
      <c r="A432" s="31">
        <v>426</v>
      </c>
      <c r="B432" s="97" t="s">
        <v>935</v>
      </c>
      <c r="C432" s="58"/>
      <c r="D432" s="97" t="s">
        <v>936</v>
      </c>
      <c r="E432" s="73"/>
      <c r="F432" s="73" t="s">
        <v>886</v>
      </c>
      <c r="G432" s="46" t="s">
        <v>700</v>
      </c>
      <c r="H432" s="73">
        <v>0</v>
      </c>
      <c r="I432" s="48"/>
      <c r="J432" s="48"/>
      <c r="K432" s="48"/>
      <c r="L432" s="38"/>
    </row>
    <row r="433" spans="1:12" s="39" customFormat="1">
      <c r="A433" s="31">
        <v>427</v>
      </c>
      <c r="B433" s="33" t="s">
        <v>937</v>
      </c>
      <c r="C433" s="32"/>
      <c r="D433" s="43" t="s">
        <v>938</v>
      </c>
      <c r="E433" s="32"/>
      <c r="F433" s="31" t="s">
        <v>887</v>
      </c>
      <c r="G433" s="46" t="s">
        <v>1134</v>
      </c>
      <c r="H433" s="32">
        <v>12</v>
      </c>
      <c r="I433" s="37"/>
      <c r="J433" s="37"/>
      <c r="K433" s="37"/>
      <c r="L433" s="38"/>
    </row>
    <row r="434" spans="1:12" s="39" customFormat="1">
      <c r="A434" s="31">
        <v>428</v>
      </c>
      <c r="B434" s="86" t="s">
        <v>707</v>
      </c>
      <c r="C434" s="85" t="s">
        <v>523</v>
      </c>
      <c r="D434" s="86" t="s">
        <v>524</v>
      </c>
      <c r="E434" s="73"/>
      <c r="F434" s="69" t="s">
        <v>525</v>
      </c>
      <c r="G434" s="46" t="s">
        <v>526</v>
      </c>
      <c r="H434" s="73">
        <v>10</v>
      </c>
      <c r="I434" s="48"/>
      <c r="J434" s="48"/>
      <c r="K434" s="48"/>
      <c r="L434" s="38"/>
    </row>
    <row r="435" spans="1:12" s="39" customFormat="1">
      <c r="A435" s="31">
        <v>429</v>
      </c>
      <c r="B435" s="86" t="s">
        <v>707</v>
      </c>
      <c r="C435" s="85"/>
      <c r="D435" s="86" t="s">
        <v>527</v>
      </c>
      <c r="E435" s="73"/>
      <c r="F435" s="69" t="s">
        <v>589</v>
      </c>
      <c r="G435" s="46" t="s">
        <v>526</v>
      </c>
      <c r="H435" s="73">
        <v>25</v>
      </c>
      <c r="I435" s="48"/>
      <c r="J435" s="48"/>
      <c r="K435" s="48"/>
      <c r="L435" s="38"/>
    </row>
    <row r="436" spans="1:12" s="39" customFormat="1">
      <c r="A436" s="31">
        <v>430</v>
      </c>
      <c r="B436" s="33" t="s">
        <v>707</v>
      </c>
      <c r="C436" s="32" t="s">
        <v>528</v>
      </c>
      <c r="D436" s="43" t="s">
        <v>529</v>
      </c>
      <c r="E436" s="34"/>
      <c r="F436" s="31" t="s">
        <v>590</v>
      </c>
      <c r="G436" s="59" t="s">
        <v>530</v>
      </c>
      <c r="H436" s="32">
        <v>10</v>
      </c>
      <c r="I436" s="37"/>
      <c r="J436" s="37"/>
      <c r="K436" s="37"/>
      <c r="L436" s="38"/>
    </row>
    <row r="437" spans="1:12" s="39" customFormat="1">
      <c r="A437" s="31">
        <v>431</v>
      </c>
      <c r="B437" s="86" t="s">
        <v>531</v>
      </c>
      <c r="C437" s="92"/>
      <c r="D437" s="86"/>
      <c r="E437" s="92"/>
      <c r="F437" s="93" t="s">
        <v>532</v>
      </c>
      <c r="G437" s="46" t="s">
        <v>1196</v>
      </c>
      <c r="H437" s="73">
        <v>11</v>
      </c>
      <c r="I437" s="48"/>
      <c r="J437" s="48"/>
      <c r="K437" s="48"/>
      <c r="L437" s="38"/>
    </row>
    <row r="438" spans="1:12" s="39" customFormat="1">
      <c r="A438" s="31">
        <v>432</v>
      </c>
      <c r="B438" s="45" t="s">
        <v>873</v>
      </c>
      <c r="C438" s="44"/>
      <c r="D438" s="45" t="s">
        <v>535</v>
      </c>
      <c r="E438" s="31"/>
      <c r="F438" s="31" t="s">
        <v>581</v>
      </c>
      <c r="G438" s="46" t="s">
        <v>414</v>
      </c>
      <c r="H438" s="31">
        <v>13</v>
      </c>
      <c r="I438" s="48"/>
      <c r="J438" s="48"/>
      <c r="K438" s="48"/>
      <c r="L438" s="38"/>
    </row>
    <row r="439" spans="1:12" s="39" customFormat="1">
      <c r="A439" s="31">
        <v>433</v>
      </c>
      <c r="B439" s="45" t="s">
        <v>718</v>
      </c>
      <c r="C439" s="44" t="s">
        <v>719</v>
      </c>
      <c r="D439" s="45" t="s">
        <v>720</v>
      </c>
      <c r="E439" s="31"/>
      <c r="F439" s="31" t="s">
        <v>721</v>
      </c>
      <c r="G439" s="46" t="s">
        <v>700</v>
      </c>
      <c r="H439" s="31">
        <v>4</v>
      </c>
      <c r="I439" s="48"/>
      <c r="J439" s="48"/>
      <c r="K439" s="48"/>
      <c r="L439" s="38"/>
    </row>
    <row r="440" spans="1:12" s="39" customFormat="1">
      <c r="A440" s="31">
        <v>434</v>
      </c>
      <c r="B440" s="75" t="s">
        <v>545</v>
      </c>
      <c r="C440" s="31"/>
      <c r="D440" s="41" t="s">
        <v>833</v>
      </c>
      <c r="E440" s="31"/>
      <c r="F440" s="42" t="s">
        <v>834</v>
      </c>
      <c r="G440" s="59" t="s">
        <v>930</v>
      </c>
      <c r="H440" s="31">
        <v>6</v>
      </c>
      <c r="I440" s="48"/>
      <c r="J440" s="48"/>
      <c r="K440" s="48"/>
      <c r="L440" s="38"/>
    </row>
    <row r="441" spans="1:12" s="39" customFormat="1">
      <c r="A441" s="31">
        <v>435</v>
      </c>
      <c r="B441" s="45" t="s">
        <v>729</v>
      </c>
      <c r="C441" s="44"/>
      <c r="D441" s="45" t="s">
        <v>546</v>
      </c>
      <c r="E441" s="31"/>
      <c r="F441" s="42" t="s">
        <v>591</v>
      </c>
      <c r="G441" s="46" t="s">
        <v>137</v>
      </c>
      <c r="H441" s="31">
        <v>140</v>
      </c>
      <c r="I441" s="48"/>
      <c r="J441" s="48"/>
      <c r="K441" s="48"/>
      <c r="L441" s="38"/>
    </row>
    <row r="442" spans="1:12" s="39" customFormat="1">
      <c r="A442" s="31">
        <v>436</v>
      </c>
      <c r="B442" s="75" t="s">
        <v>1181</v>
      </c>
      <c r="C442" s="31" t="s">
        <v>557</v>
      </c>
      <c r="D442" s="41" t="s">
        <v>558</v>
      </c>
      <c r="E442" s="31"/>
      <c r="F442" s="42" t="s">
        <v>558</v>
      </c>
      <c r="G442" s="46" t="s">
        <v>1043</v>
      </c>
      <c r="H442" s="31">
        <v>27</v>
      </c>
      <c r="I442" s="48"/>
      <c r="J442" s="48"/>
      <c r="K442" s="48"/>
      <c r="L442" s="38"/>
    </row>
    <row r="443" spans="1:12" s="39" customFormat="1">
      <c r="A443" s="31">
        <v>437</v>
      </c>
      <c r="B443" s="45" t="s">
        <v>729</v>
      </c>
      <c r="C443" s="44"/>
      <c r="D443" s="45" t="s">
        <v>547</v>
      </c>
      <c r="E443" s="31"/>
      <c r="F443" s="42" t="s">
        <v>548</v>
      </c>
      <c r="G443" s="46" t="s">
        <v>940</v>
      </c>
      <c r="H443" s="31">
        <v>16</v>
      </c>
      <c r="I443" s="48"/>
      <c r="J443" s="48"/>
      <c r="K443" s="48"/>
      <c r="L443" s="38"/>
    </row>
    <row r="444" spans="1:12" s="39" customFormat="1">
      <c r="A444" s="31">
        <v>438</v>
      </c>
      <c r="B444" s="45" t="s">
        <v>730</v>
      </c>
      <c r="C444" s="44"/>
      <c r="D444" s="45" t="s">
        <v>549</v>
      </c>
      <c r="E444" s="31"/>
      <c r="F444" s="42" t="s">
        <v>550</v>
      </c>
      <c r="G444" s="46" t="s">
        <v>940</v>
      </c>
      <c r="H444" s="31">
        <v>16</v>
      </c>
      <c r="I444" s="48"/>
      <c r="J444" s="48"/>
      <c r="K444" s="48"/>
      <c r="L444" s="38"/>
    </row>
    <row r="445" spans="1:12" s="39" customFormat="1">
      <c r="A445" s="31">
        <v>439</v>
      </c>
      <c r="B445" s="86" t="s">
        <v>731</v>
      </c>
      <c r="C445" s="85"/>
      <c r="D445" s="86" t="s">
        <v>549</v>
      </c>
      <c r="E445" s="73"/>
      <c r="F445" s="69" t="s">
        <v>551</v>
      </c>
      <c r="G445" s="46" t="s">
        <v>940</v>
      </c>
      <c r="H445" s="73">
        <v>16</v>
      </c>
      <c r="I445" s="48"/>
      <c r="J445" s="48"/>
      <c r="K445" s="48"/>
      <c r="L445" s="38"/>
    </row>
    <row r="446" spans="1:12" s="39" customFormat="1">
      <c r="A446" s="31">
        <v>440</v>
      </c>
      <c r="B446" s="86" t="s">
        <v>1177</v>
      </c>
      <c r="C446" s="85" t="s">
        <v>567</v>
      </c>
      <c r="D446" s="86" t="s">
        <v>552</v>
      </c>
      <c r="E446" s="73"/>
      <c r="F446" s="69" t="s">
        <v>552</v>
      </c>
      <c r="G446" s="46" t="s">
        <v>1179</v>
      </c>
      <c r="H446" s="73">
        <v>1</v>
      </c>
      <c r="I446" s="48"/>
      <c r="J446" s="48"/>
      <c r="K446" s="48"/>
      <c r="L446" s="38"/>
    </row>
    <row r="447" spans="1:12" s="39" customFormat="1">
      <c r="B447" s="104"/>
      <c r="D447" s="104"/>
      <c r="I447" s="248" t="s">
        <v>1255</v>
      </c>
      <c r="J447" s="248"/>
      <c r="K447" s="105">
        <f>SUM(K7:K446)</f>
        <v>998448145.26900005</v>
      </c>
      <c r="L447" s="106"/>
    </row>
    <row r="448" spans="1:12" s="39" customFormat="1">
      <c r="B448" s="104"/>
      <c r="D448" s="104"/>
      <c r="I448" s="107" t="s">
        <v>1257</v>
      </c>
      <c r="J448" s="107"/>
      <c r="K448" s="107">
        <v>73500000</v>
      </c>
    </row>
    <row r="449" spans="9:11">
      <c r="I449" s="24" t="s">
        <v>1258</v>
      </c>
      <c r="K449" s="24">
        <v>180000000</v>
      </c>
    </row>
    <row r="450" spans="9:11">
      <c r="K450" s="24">
        <f>SUM(K447:K449)</f>
        <v>1251948145.2690001</v>
      </c>
    </row>
  </sheetData>
  <mergeCells count="19">
    <mergeCell ref="C5:C6"/>
    <mergeCell ref="D5:D6"/>
    <mergeCell ref="E5:E6"/>
    <mergeCell ref="I447:J447"/>
    <mergeCell ref="F5:F6"/>
    <mergeCell ref="A1:C1"/>
    <mergeCell ref="D1:L3"/>
    <mergeCell ref="A2:C2"/>
    <mergeCell ref="A3:C3"/>
    <mergeCell ref="I5:I6"/>
    <mergeCell ref="J5:J6"/>
    <mergeCell ref="K5:K6"/>
    <mergeCell ref="G5:G6"/>
    <mergeCell ref="H5:H6"/>
    <mergeCell ref="L5:L6"/>
    <mergeCell ref="A4:C4"/>
    <mergeCell ref="D4:F4"/>
    <mergeCell ref="A5:A6"/>
    <mergeCell ref="B5:B6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M53"/>
  <sheetViews>
    <sheetView zoomScaleNormal="100" workbookViewId="0">
      <selection activeCell="B7" sqref="B7"/>
    </sheetView>
  </sheetViews>
  <sheetFormatPr defaultRowHeight="13.5"/>
  <cols>
    <col min="1" max="1" width="15" customWidth="1"/>
    <col min="2" max="2" width="14.109375" customWidth="1"/>
    <col min="4" max="4" width="13.44140625" customWidth="1"/>
    <col min="5" max="5" width="21.33203125" customWidth="1"/>
    <col min="6" max="6" width="8.21875" customWidth="1"/>
    <col min="8" max="8" width="12.21875" customWidth="1"/>
  </cols>
  <sheetData>
    <row r="1" spans="1:13">
      <c r="A1" t="s">
        <v>1081</v>
      </c>
      <c r="B1" s="1"/>
      <c r="E1" s="2" t="s">
        <v>555</v>
      </c>
    </row>
    <row r="2" spans="1:13">
      <c r="A2" t="s">
        <v>1082</v>
      </c>
      <c r="B2" s="1"/>
    </row>
    <row r="3" spans="1:13">
      <c r="A3" t="s">
        <v>1083</v>
      </c>
      <c r="B3" s="3"/>
      <c r="E3">
        <v>0</v>
      </c>
    </row>
    <row r="4" spans="1:13" ht="14.25" thickBot="1">
      <c r="A4">
        <f>MAX(A6:A30)</f>
        <v>10</v>
      </c>
      <c r="B4" s="4"/>
      <c r="C4" s="2" t="s">
        <v>1084</v>
      </c>
      <c r="E4" s="2" t="s">
        <v>1085</v>
      </c>
      <c r="H4" s="4"/>
    </row>
    <row r="5" spans="1:13">
      <c r="A5" s="5" t="s">
        <v>1086</v>
      </c>
      <c r="B5" s="6" t="s">
        <v>1087</v>
      </c>
      <c r="C5" s="6" t="s">
        <v>1088</v>
      </c>
      <c r="D5" s="6" t="s">
        <v>1089</v>
      </c>
      <c r="E5" s="7" t="s">
        <v>1090</v>
      </c>
      <c r="F5" s="10" t="s">
        <v>1091</v>
      </c>
      <c r="G5" s="11" t="s">
        <v>1092</v>
      </c>
    </row>
    <row r="6" spans="1:13">
      <c r="A6" s="12">
        <v>1</v>
      </c>
      <c r="B6" s="13">
        <v>1</v>
      </c>
      <c r="C6" s="8">
        <v>4</v>
      </c>
      <c r="D6" s="8"/>
      <c r="E6" s="8" t="s">
        <v>56</v>
      </c>
      <c r="F6" s="12"/>
      <c r="G6" s="12"/>
      <c r="H6" t="e">
        <f t="shared" ref="H6:H14" ca="1" si="0">INDIRECT("'"&amp;E6&amp;"'!M28")</f>
        <v>#REF!</v>
      </c>
      <c r="M6" s="8"/>
    </row>
    <row r="7" spans="1:13">
      <c r="A7" s="12">
        <f t="shared" ref="A7:A14" si="1">A6+1</f>
        <v>2</v>
      </c>
      <c r="B7" s="13">
        <v>2</v>
      </c>
      <c r="C7" s="8">
        <v>3</v>
      </c>
      <c r="D7" s="8"/>
      <c r="E7" s="8" t="s">
        <v>55</v>
      </c>
      <c r="F7" s="12"/>
      <c r="G7" s="12"/>
      <c r="H7" t="e">
        <f t="shared" ca="1" si="0"/>
        <v>#REF!</v>
      </c>
      <c r="I7" s="12"/>
      <c r="M7" s="8"/>
    </row>
    <row r="8" spans="1:13">
      <c r="A8" s="12">
        <f t="shared" si="1"/>
        <v>3</v>
      </c>
      <c r="B8" s="13">
        <v>3</v>
      </c>
      <c r="C8" s="8">
        <v>4</v>
      </c>
      <c r="D8" s="8"/>
      <c r="E8" s="8" t="s">
        <v>53</v>
      </c>
      <c r="F8" s="12"/>
      <c r="G8" s="12"/>
      <c r="H8" t="e">
        <f t="shared" ca="1" si="0"/>
        <v>#REF!</v>
      </c>
      <c r="I8" s="12"/>
      <c r="M8" s="8"/>
    </row>
    <row r="9" spans="1:13">
      <c r="A9" s="12">
        <f t="shared" si="1"/>
        <v>4</v>
      </c>
      <c r="B9" s="13">
        <v>4</v>
      </c>
      <c r="C9" s="8">
        <v>3</v>
      </c>
      <c r="D9" s="8"/>
      <c r="E9" s="8" t="s">
        <v>54</v>
      </c>
      <c r="F9" s="12"/>
      <c r="G9" s="12"/>
      <c r="H9" t="e">
        <f t="shared" ca="1" si="0"/>
        <v>#REF!</v>
      </c>
      <c r="I9" s="12"/>
      <c r="M9" s="8"/>
    </row>
    <row r="10" spans="1:13">
      <c r="A10" s="12">
        <f t="shared" si="1"/>
        <v>5</v>
      </c>
      <c r="B10" s="13">
        <v>5</v>
      </c>
      <c r="C10" s="8">
        <v>2</v>
      </c>
      <c r="D10" s="8"/>
      <c r="E10" s="8" t="s">
        <v>841</v>
      </c>
      <c r="F10" s="12"/>
      <c r="G10" s="12"/>
      <c r="H10" t="e">
        <f t="shared" ca="1" si="0"/>
        <v>#REF!</v>
      </c>
      <c r="I10" s="12"/>
      <c r="M10" s="8"/>
    </row>
    <row r="11" spans="1:13">
      <c r="A11" s="12">
        <f>A10+1</f>
        <v>6</v>
      </c>
      <c r="B11" s="13">
        <v>6</v>
      </c>
      <c r="C11" s="8">
        <v>1</v>
      </c>
      <c r="D11" s="8"/>
      <c r="E11" s="8" t="s">
        <v>229</v>
      </c>
      <c r="F11" s="12"/>
      <c r="G11" s="12"/>
      <c r="H11" t="e">
        <f t="shared" ca="1" si="0"/>
        <v>#REF!</v>
      </c>
      <c r="I11" s="12"/>
      <c r="M11" s="8"/>
    </row>
    <row r="12" spans="1:13">
      <c r="A12" s="12">
        <f t="shared" si="1"/>
        <v>7</v>
      </c>
      <c r="B12" s="13">
        <v>7</v>
      </c>
      <c r="C12" s="8">
        <v>1</v>
      </c>
      <c r="D12" s="8"/>
      <c r="E12" s="8" t="s">
        <v>230</v>
      </c>
      <c r="F12" s="12"/>
      <c r="G12" s="12"/>
      <c r="H12" t="e">
        <f t="shared" ca="1" si="0"/>
        <v>#REF!</v>
      </c>
      <c r="I12" s="12"/>
      <c r="M12" s="8"/>
    </row>
    <row r="13" spans="1:13">
      <c r="A13" s="12">
        <f>A12+1</f>
        <v>8</v>
      </c>
      <c r="B13" s="13">
        <v>8</v>
      </c>
      <c r="C13" s="8">
        <v>1</v>
      </c>
      <c r="D13" s="8"/>
      <c r="E13" s="8" t="s">
        <v>231</v>
      </c>
      <c r="F13" s="12"/>
      <c r="G13" s="12"/>
      <c r="H13" t="e">
        <f t="shared" ca="1" si="0"/>
        <v>#REF!</v>
      </c>
      <c r="I13" s="12"/>
      <c r="M13" s="8"/>
    </row>
    <row r="14" spans="1:13">
      <c r="A14" s="12">
        <f t="shared" si="1"/>
        <v>9</v>
      </c>
      <c r="B14" s="13">
        <v>9</v>
      </c>
      <c r="C14" s="8">
        <v>1</v>
      </c>
      <c r="D14" s="8"/>
      <c r="E14" s="8" t="s">
        <v>679</v>
      </c>
      <c r="F14" s="12"/>
      <c r="G14" s="12"/>
      <c r="H14" t="e">
        <f t="shared" ca="1" si="0"/>
        <v>#REF!</v>
      </c>
      <c r="I14" s="12"/>
      <c r="M14" s="8"/>
    </row>
    <row r="15" spans="1:13">
      <c r="A15" s="12">
        <f>A14+1</f>
        <v>10</v>
      </c>
      <c r="B15" s="13">
        <v>10</v>
      </c>
      <c r="C15" s="8">
        <v>1</v>
      </c>
      <c r="D15" s="8"/>
      <c r="E15" s="8" t="s">
        <v>236</v>
      </c>
      <c r="F15" s="12"/>
      <c r="G15" s="12"/>
      <c r="I15" s="12"/>
      <c r="M15" s="8"/>
    </row>
    <row r="16" spans="1:13">
      <c r="A16" s="12"/>
      <c r="B16" s="13"/>
      <c r="C16" s="8"/>
      <c r="D16" s="8"/>
      <c r="E16" s="8"/>
      <c r="F16" s="12"/>
      <c r="G16" s="12"/>
      <c r="I16" s="12"/>
      <c r="M16" s="8"/>
    </row>
    <row r="17" spans="1:13">
      <c r="A17" s="12"/>
      <c r="B17" s="13"/>
      <c r="C17" s="8"/>
      <c r="D17" s="8"/>
      <c r="E17" s="8"/>
      <c r="F17" s="12"/>
      <c r="G17" s="12"/>
      <c r="I17" s="12"/>
      <c r="M17" s="8"/>
    </row>
    <row r="18" spans="1:13">
      <c r="A18" s="12"/>
      <c r="B18" s="13"/>
      <c r="C18" s="8"/>
      <c r="D18" s="8"/>
      <c r="E18" s="8"/>
      <c r="F18" s="12"/>
      <c r="G18" s="12"/>
      <c r="I18" s="12"/>
      <c r="M18" s="8"/>
    </row>
    <row r="19" spans="1:13">
      <c r="A19" s="12"/>
      <c r="B19" s="13"/>
      <c r="C19" s="8"/>
      <c r="D19" s="8"/>
      <c r="E19" s="8"/>
      <c r="F19" s="12"/>
      <c r="G19" s="12"/>
      <c r="I19" s="12"/>
      <c r="M19" s="8"/>
    </row>
    <row r="20" spans="1:13">
      <c r="A20" s="12"/>
      <c r="B20" s="13"/>
      <c r="C20" s="8"/>
      <c r="D20" s="8"/>
      <c r="E20" s="8"/>
      <c r="F20" s="12"/>
      <c r="G20" s="12"/>
      <c r="I20" s="12"/>
      <c r="M20" s="8"/>
    </row>
    <row r="21" spans="1:13">
      <c r="A21" s="12"/>
      <c r="B21" s="13"/>
      <c r="C21" s="8"/>
      <c r="D21" s="8"/>
      <c r="E21" s="8"/>
      <c r="F21" s="12"/>
      <c r="G21" s="12"/>
      <c r="I21" s="12"/>
      <c r="M21" s="8"/>
    </row>
    <row r="22" spans="1:13">
      <c r="A22" s="12"/>
      <c r="B22" s="13"/>
      <c r="C22" s="8"/>
      <c r="D22" s="8"/>
      <c r="E22" s="8"/>
      <c r="F22" s="12"/>
      <c r="G22" s="12"/>
      <c r="M22" s="8"/>
    </row>
    <row r="23" spans="1:13">
      <c r="A23" s="12"/>
      <c r="B23" s="13"/>
      <c r="C23" s="8"/>
      <c r="D23" s="8"/>
      <c r="E23" s="8"/>
      <c r="F23" s="12"/>
      <c r="G23" s="12"/>
      <c r="M23" s="8"/>
    </row>
    <row r="24" spans="1:13">
      <c r="A24" s="12"/>
      <c r="B24" s="13"/>
      <c r="C24" s="8"/>
      <c r="D24" s="8"/>
      <c r="E24" s="8"/>
      <c r="F24" s="12"/>
      <c r="G24" s="12"/>
      <c r="M24" s="8"/>
    </row>
    <row r="25" spans="1:13">
      <c r="A25" s="12"/>
      <c r="B25" s="13"/>
      <c r="C25" s="8"/>
      <c r="D25" s="8"/>
      <c r="E25" s="8"/>
      <c r="F25" s="12"/>
      <c r="G25" s="12"/>
      <c r="M25" s="8"/>
    </row>
    <row r="26" spans="1:13">
      <c r="A26" s="12"/>
      <c r="B26" s="13"/>
      <c r="C26" s="8"/>
      <c r="D26" s="8"/>
      <c r="E26" s="8"/>
      <c r="F26" s="12"/>
      <c r="G26" s="12"/>
      <c r="M26" s="8"/>
    </row>
    <row r="27" spans="1:13">
      <c r="A27" s="12"/>
      <c r="B27" s="13"/>
      <c r="C27" s="8"/>
      <c r="D27" s="8"/>
      <c r="E27" s="8"/>
      <c r="F27" s="12"/>
      <c r="G27" s="12"/>
      <c r="M27" s="8"/>
    </row>
    <row r="28" spans="1:13">
      <c r="A28" s="12"/>
      <c r="B28" s="13"/>
      <c r="C28" s="8"/>
      <c r="D28" s="8"/>
      <c r="E28" s="8"/>
      <c r="F28" s="12"/>
      <c r="G28" s="12"/>
      <c r="M28" s="8"/>
    </row>
    <row r="29" spans="1:13">
      <c r="A29" s="12"/>
      <c r="B29" s="13"/>
      <c r="C29" s="8"/>
      <c r="D29" s="8"/>
      <c r="E29" s="8"/>
      <c r="F29" s="12"/>
      <c r="G29" s="12"/>
      <c r="M29" s="8"/>
    </row>
    <row r="30" spans="1:13">
      <c r="A30" s="12"/>
      <c r="B30" s="13"/>
      <c r="C30" s="8"/>
      <c r="D30" s="8"/>
      <c r="E30" s="8"/>
      <c r="F30" s="12"/>
      <c r="G30" s="12"/>
      <c r="M30" s="8"/>
    </row>
    <row r="31" spans="1:13">
      <c r="A31" s="12"/>
      <c r="B31" s="13"/>
      <c r="C31" s="8"/>
      <c r="D31" s="8"/>
      <c r="E31" s="8"/>
      <c r="F31" s="12"/>
      <c r="G31" s="12"/>
      <c r="M31" s="8"/>
    </row>
    <row r="32" spans="1:13">
      <c r="A32" s="12"/>
      <c r="B32" s="13"/>
      <c r="C32" s="8"/>
      <c r="D32" s="8"/>
      <c r="E32" s="8"/>
      <c r="F32" s="12"/>
      <c r="G32" s="12"/>
      <c r="M32" s="8"/>
    </row>
    <row r="33" spans="1:13">
      <c r="A33" s="12"/>
      <c r="B33" s="13"/>
      <c r="C33" s="8"/>
      <c r="D33" s="8"/>
      <c r="E33" s="8"/>
      <c r="F33" s="12"/>
      <c r="G33" s="12"/>
      <c r="M33" s="8"/>
    </row>
    <row r="34" spans="1:13">
      <c r="A34" s="12"/>
      <c r="B34" s="13"/>
      <c r="C34" s="8"/>
      <c r="D34" s="8"/>
      <c r="E34" s="8"/>
      <c r="F34" s="12"/>
      <c r="G34" s="12"/>
      <c r="M34" s="8"/>
    </row>
    <row r="35" spans="1:13">
      <c r="A35" s="12"/>
      <c r="B35" s="13"/>
      <c r="C35" s="8"/>
      <c r="D35" s="8"/>
      <c r="E35" s="8"/>
      <c r="M35" s="8"/>
    </row>
    <row r="36" spans="1:13">
      <c r="A36" s="12"/>
      <c r="B36" s="13"/>
      <c r="C36" s="8"/>
      <c r="D36" s="8"/>
      <c r="E36" s="8"/>
      <c r="M36" s="8"/>
    </row>
    <row r="37" spans="1:13">
      <c r="A37" s="12"/>
      <c r="B37" s="13"/>
      <c r="C37" s="8"/>
      <c r="D37" s="8"/>
      <c r="E37" s="8"/>
      <c r="M37" s="8"/>
    </row>
    <row r="38" spans="1:13">
      <c r="A38" s="12"/>
      <c r="B38" s="13"/>
      <c r="C38" s="8"/>
      <c r="D38" s="8"/>
      <c r="E38" s="8"/>
      <c r="M38" s="8"/>
    </row>
    <row r="39" spans="1:13">
      <c r="A39" s="12"/>
      <c r="B39" s="13"/>
      <c r="C39" s="8"/>
      <c r="D39" s="8"/>
      <c r="E39" s="8"/>
      <c r="M39" s="8"/>
    </row>
    <row r="40" spans="1:13">
      <c r="A40" s="12"/>
      <c r="B40" s="13"/>
      <c r="C40" s="8"/>
      <c r="D40" s="8"/>
      <c r="E40" s="8"/>
      <c r="M40" s="8"/>
    </row>
    <row r="41" spans="1:13">
      <c r="A41" s="12"/>
      <c r="B41" s="13"/>
      <c r="C41" s="8"/>
      <c r="D41" s="8"/>
      <c r="E41" s="8"/>
      <c r="M41" s="8"/>
    </row>
    <row r="42" spans="1:13">
      <c r="A42" s="12"/>
      <c r="B42" s="13"/>
      <c r="C42" s="8"/>
      <c r="D42" s="8"/>
      <c r="E42" s="8"/>
      <c r="M42" s="8"/>
    </row>
    <row r="43" spans="1:13">
      <c r="A43" s="12"/>
      <c r="B43" s="13"/>
      <c r="C43" s="8"/>
      <c r="D43" s="8"/>
      <c r="E43" s="8"/>
      <c r="M43" s="8"/>
    </row>
    <row r="44" spans="1:13">
      <c r="A44" s="12"/>
      <c r="B44" s="13"/>
      <c r="C44" s="8"/>
      <c r="E44" s="8"/>
      <c r="M44" s="8"/>
    </row>
    <row r="45" spans="1:13">
      <c r="A45" s="12"/>
      <c r="B45" s="13"/>
      <c r="C45" s="8"/>
      <c r="E45" s="8"/>
      <c r="M45" s="8"/>
    </row>
    <row r="46" spans="1:13">
      <c r="A46" s="12"/>
      <c r="B46" s="13"/>
      <c r="C46" s="8"/>
      <c r="E46" s="8"/>
      <c r="M46" s="8"/>
    </row>
    <row r="47" spans="1:13">
      <c r="A47" s="12"/>
      <c r="B47" s="13"/>
      <c r="C47" s="8"/>
      <c r="E47" s="8"/>
      <c r="M47" s="8"/>
    </row>
    <row r="48" spans="1:13">
      <c r="A48" s="12"/>
      <c r="B48" s="13"/>
      <c r="C48" s="8"/>
      <c r="E48" s="8"/>
      <c r="M48" s="8"/>
    </row>
    <row r="49" spans="1:13">
      <c r="A49" s="12"/>
      <c r="B49" s="13"/>
      <c r="C49" s="8"/>
      <c r="E49" s="8"/>
      <c r="M49" s="8"/>
    </row>
    <row r="50" spans="1:13">
      <c r="A50" s="12"/>
      <c r="B50" s="13"/>
      <c r="C50" s="8"/>
      <c r="E50" s="8"/>
      <c r="M50" s="8"/>
    </row>
    <row r="51" spans="1:13">
      <c r="A51" s="12"/>
      <c r="B51" s="13"/>
      <c r="C51" s="8"/>
      <c r="E51" s="8"/>
      <c r="M51" s="8"/>
    </row>
    <row r="52" spans="1:13">
      <c r="A52" s="12"/>
      <c r="B52" s="13"/>
      <c r="C52" s="8"/>
      <c r="E52" s="8"/>
      <c r="M52" s="8"/>
    </row>
    <row r="53" spans="1:13">
      <c r="A53" s="12"/>
      <c r="B53" s="13"/>
      <c r="M53" s="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Drop Down 1">
              <controlPr defaultSize="0" autoLine="0" autoPict="0">
                <anchor moveWithCells="1">
                  <from>
                    <xdr:col>4</xdr:col>
                    <xdr:colOff>9525</xdr:colOff>
                    <xdr:row>1</xdr:row>
                    <xdr:rowOff>114300</xdr:rowOff>
                  </from>
                  <to>
                    <xdr:col>5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4]!Button3_Click">
                <anchor moveWithCells="1" sizeWithCells="1">
                  <from>
                    <xdr:col>7</xdr:col>
                    <xdr:colOff>9525</xdr:colOff>
                    <xdr:row>1</xdr:row>
                    <xdr:rowOff>66675</xdr:rowOff>
                  </from>
                  <to>
                    <xdr:col>8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Button1_Click">
                <anchor moveWithCells="1" sizeWithCells="1">
                  <from>
                    <xdr:col>8</xdr:col>
                    <xdr:colOff>28575</xdr:colOff>
                    <xdr:row>23</xdr:row>
                    <xdr:rowOff>9525</xdr:rowOff>
                  </from>
                  <to>
                    <xdr:col>11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광통신</vt:lpstr>
      <vt:lpstr>Total Part List</vt:lpstr>
      <vt:lpstr>생산의뢰서</vt:lpstr>
      <vt:lpstr>광통신!Print_Area</vt:lpstr>
      <vt:lpstr>생산의뢰서!Print_Area</vt:lpstr>
      <vt:lpstr>광통신!Print_Titles</vt:lpstr>
    </vt:vector>
  </TitlesOfParts>
  <Company>ATTO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최 보길</cp:lastModifiedBy>
  <cp:lastPrinted>2009-07-09T04:49:29Z</cp:lastPrinted>
  <dcterms:created xsi:type="dcterms:W3CDTF">2001-11-25T19:12:56Z</dcterms:created>
  <dcterms:modified xsi:type="dcterms:W3CDTF">2012-11-21T05:50:30Z</dcterms:modified>
</cp:coreProperties>
</file>